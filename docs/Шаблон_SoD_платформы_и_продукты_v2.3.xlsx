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drey.Posadsky\Desktop\СВК\SoD\Концепция_new\"/>
    </mc:Choice>
  </mc:AlternateContent>
  <xr:revisionPtr revIDLastSave="0" documentId="13_ncr:1_{7A923AA8-92F1-475F-BA5E-9AFA541B0150}" xr6:coauthVersionLast="36" xr6:coauthVersionMax="36" xr10:uidLastSave="{00000000-0000-0000-0000-000000000000}"/>
  <bookViews>
    <workbookView xWindow="0" yWindow="0" windowWidth="23040" windowHeight="7728" tabRatio="849" activeTab="5" xr2:uid="{00000000-000D-0000-FFFF-FFFF00000000}"/>
  </bookViews>
  <sheets>
    <sheet name="Инструкция" sheetId="1" r:id="rId1"/>
    <sheet name="Карточка продукта" sheetId="3" state="hidden" r:id="rId2"/>
    <sheet name="ИС и пользователи" sheetId="11" state="hidden" r:id="rId3"/>
    <sheet name="Назначения (шаг 1)" sheetId="6" r:id="rId4"/>
    <sheet name="Роли и права (шаги 2-4)" sheetId="5" r:id="rId5"/>
    <sheet name="SoD-анализ (шаг 5)" sheetId="7" r:id="rId6"/>
    <sheet name="Фактические конфликты (шаг 6)" sheetId="9" r:id="rId7"/>
    <sheet name="Справочники" sheetId="10" state="hidden" r:id="rId8"/>
  </sheets>
  <calcPr calcId="191029"/>
</workbook>
</file>

<file path=xl/calcChain.xml><?xml version="1.0" encoding="utf-8"?>
<calcChain xmlns="http://schemas.openxmlformats.org/spreadsheetml/2006/main">
  <c r="H12" i="3" l="1"/>
  <c r="H11" i="3"/>
  <c r="H10" i="3"/>
  <c r="H9" i="3"/>
  <c r="H8" i="3"/>
  <c r="H7" i="3"/>
  <c r="H6" i="3"/>
  <c r="H5" i="3"/>
  <c r="B19" i="5" l="1"/>
  <c r="C72" i="5"/>
  <c r="B77" i="5"/>
  <c r="B16" i="5"/>
  <c r="C70" i="5"/>
  <c r="B21" i="5"/>
  <c r="B23" i="5"/>
  <c r="B25" i="5"/>
  <c r="B27" i="5"/>
  <c r="B29" i="5"/>
  <c r="B31" i="5"/>
  <c r="B33" i="5"/>
  <c r="B35" i="5"/>
  <c r="B37" i="5"/>
  <c r="B39" i="5"/>
  <c r="B41" i="5"/>
  <c r="B43" i="5"/>
  <c r="B45" i="5"/>
  <c r="B47" i="5"/>
  <c r="B49" i="5"/>
  <c r="B51" i="5"/>
  <c r="B53" i="5"/>
  <c r="B55" i="5"/>
  <c r="B57" i="5"/>
  <c r="B59" i="5"/>
  <c r="B61" i="5"/>
  <c r="B63" i="5"/>
  <c r="C80" i="5"/>
  <c r="B18" i="5"/>
  <c r="C78" i="5"/>
  <c r="B15" i="5"/>
  <c r="B71" i="5"/>
  <c r="C14" i="5"/>
  <c r="B84" i="5"/>
  <c r="B83" i="5"/>
  <c r="B82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C81" i="5"/>
  <c r="B80" i="5"/>
  <c r="C73" i="5"/>
  <c r="B72" i="5"/>
  <c r="C65" i="5"/>
  <c r="B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C84" i="5"/>
  <c r="B81" i="5"/>
  <c r="C74" i="5"/>
  <c r="B73" i="5"/>
  <c r="C66" i="5"/>
  <c r="B65" i="5"/>
  <c r="C75" i="5"/>
  <c r="B74" i="5"/>
  <c r="C67" i="5"/>
  <c r="B66" i="5"/>
  <c r="C82" i="5"/>
  <c r="C76" i="5"/>
  <c r="B75" i="5"/>
  <c r="C68" i="5"/>
  <c r="B67" i="5"/>
  <c r="C77" i="5"/>
  <c r="B76" i="5"/>
  <c r="C69" i="5"/>
  <c r="B68" i="5"/>
  <c r="C83" i="5"/>
  <c r="C79" i="5"/>
  <c r="B78" i="5"/>
  <c r="C71" i="5"/>
  <c r="B70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A13" i="5"/>
  <c r="A14" i="5"/>
  <c r="B20" i="5"/>
  <c r="C13" i="5"/>
  <c r="B13" i="5"/>
  <c r="B14" i="5"/>
  <c r="B17" i="5"/>
  <c r="B22" i="5"/>
  <c r="B24" i="5"/>
  <c r="B26" i="5"/>
  <c r="B28" i="5"/>
  <c r="B30" i="5"/>
  <c r="B32" i="5"/>
  <c r="B34" i="5"/>
  <c r="B36" i="5"/>
  <c r="B38" i="5"/>
  <c r="B40" i="5"/>
  <c r="B42" i="5"/>
  <c r="B44" i="5"/>
  <c r="B46" i="5"/>
  <c r="B48" i="5"/>
  <c r="B50" i="5"/>
  <c r="B52" i="5"/>
  <c r="B54" i="5"/>
  <c r="B56" i="5"/>
  <c r="B58" i="5"/>
  <c r="B60" i="5"/>
  <c r="B62" i="5"/>
  <c r="C64" i="5"/>
  <c r="B69" i="5"/>
  <c r="B79" i="5"/>
</calcChain>
</file>

<file path=xl/sharedStrings.xml><?xml version="1.0" encoding="utf-8"?>
<sst xmlns="http://schemas.openxmlformats.org/spreadsheetml/2006/main" count="889" uniqueCount="436">
  <si>
    <t>Шаблон управления рисками Segregation of Duties (SoD)</t>
  </si>
  <si>
    <t>Шаг</t>
  </si>
  <si>
    <t>Ответственный</t>
  </si>
  <si>
    <t>Что делает</t>
  </si>
  <si>
    <t>Результат</t>
  </si>
  <si>
    <t>ЦЭ по ВК</t>
  </si>
  <si>
    <t>Роли и права</t>
  </si>
  <si>
    <t>SoD-анализ</t>
  </si>
  <si>
    <t>Фактические конфликты</t>
  </si>
  <si>
    <t>Простая</t>
  </si>
  <si>
    <t>Композитная</t>
  </si>
  <si>
    <t>Шаблонная</t>
  </si>
  <si>
    <t>Производная</t>
  </si>
  <si>
    <t>Бизнес-роль / пакет</t>
  </si>
  <si>
    <t>В производной роли</t>
  </si>
  <si>
    <t>При назначении</t>
  </si>
  <si>
    <t>Минимальные сведения, известные до начала сбора данных.</t>
  </si>
  <si>
    <t>Инициация волны</t>
  </si>
  <si>
    <t>Значение</t>
  </si>
  <si>
    <t>Сводка по волне</t>
  </si>
  <si>
    <t>WAVE-001</t>
  </si>
  <si>
    <t>ИС в контуре</t>
  </si>
  <si>
    <t>Платформа</t>
  </si>
  <si>
    <t>Орбита</t>
  </si>
  <si>
    <t>Ролей</t>
  </si>
  <si>
    <t>Владелец платформы</t>
  </si>
  <si>
    <t>ПРИМЕР: ФИО / должность</t>
  </si>
  <si>
    <t>Строк полномочий</t>
  </si>
  <si>
    <t>Продукт</t>
  </si>
  <si>
    <t>Управление выгодой</t>
  </si>
  <si>
    <t>Назначений</t>
  </si>
  <si>
    <t>Владелец продукта</t>
  </si>
  <si>
    <t>Риск-гипотез</t>
  </si>
  <si>
    <t>Ответственный ЦЭ по ВК</t>
  </si>
  <si>
    <t>ПРИМЕР: ФИО</t>
  </si>
  <si>
    <t>Подтверждённых рисков</t>
  </si>
  <si>
    <t>Подразделение БЕ Тех</t>
  </si>
  <si>
    <t>Технических правил</t>
  </si>
  <si>
    <t>Плановая дата начала</t>
  </si>
  <si>
    <t>Фактических конфликтов</t>
  </si>
  <si>
    <t>Плановая дата завершения</t>
  </si>
  <si>
    <t>Статус волны</t>
  </si>
  <si>
    <t>Планируется</t>
  </si>
  <si>
    <t>Предварительный контур ИС</t>
  </si>
  <si>
    <t>Информационная система</t>
  </si>
  <si>
    <t>БЕ Тех / технический владелец</t>
  </si>
  <si>
    <t>Источник ролевой модели</t>
  </si>
  <si>
    <t>Статус включения в периметр</t>
  </si>
  <si>
    <t>Комментарий</t>
  </si>
  <si>
    <t>SAP ERP</t>
  </si>
  <si>
    <t>ПРИМЕР: команда ERP</t>
  </si>
  <si>
    <t>Каталог ролей / Confluence</t>
  </si>
  <si>
    <t>Включена</t>
  </si>
  <si>
    <t>Платёжные и закупочные роли</t>
  </si>
  <si>
    <t>WMS</t>
  </si>
  <si>
    <t>ПРИМЕР: команда WMS</t>
  </si>
  <si>
    <t>Реестр ролей WMS</t>
  </si>
  <si>
    <t>Складские роли</t>
  </si>
  <si>
    <t>MDM</t>
  </si>
  <si>
    <t>ПРИМЕР: команда мастер-данных</t>
  </si>
  <si>
    <t>Каталог ролей MDM</t>
  </si>
  <si>
    <t>Требует уточнения</t>
  </si>
  <si>
    <t>Уточнить связь с продуктом</t>
  </si>
  <si>
    <t>Код роли</t>
  </si>
  <si>
    <t>Наименование роли</t>
  </si>
  <si>
    <t>Назначение роли</t>
  </si>
  <si>
    <t>Конструкция роли</t>
  </si>
  <si>
    <t>Способ задания scope</t>
  </si>
  <si>
    <t>SAP_AP_SUPER</t>
  </si>
  <si>
    <t>AP Superuser</t>
  </si>
  <si>
    <t>Ведение реквизитов поставщика и исполнение платежей</t>
  </si>
  <si>
    <t>Да</t>
  </si>
  <si>
    <t>Не применимо</t>
  </si>
  <si>
    <t>Пятёрочка; Перекрёсток</t>
  </si>
  <si>
    <t>Фиксирован в роли</t>
  </si>
  <si>
    <t>WMS_KEEPER</t>
  </si>
  <si>
    <t>Кладовщик</t>
  </si>
  <si>
    <t>Физическое перемещение и выдача товара</t>
  </si>
  <si>
    <t>Пятёрочка</t>
  </si>
  <si>
    <t>WMS_ADJUSTER</t>
  </si>
  <si>
    <t>Корректировка остатков</t>
  </si>
  <si>
    <t>Ручная корректировка учётных остатков</t>
  </si>
  <si>
    <t>Нет</t>
  </si>
  <si>
    <t>SAP_PO_CREATOR</t>
  </si>
  <si>
    <t>Создание заказа на закупку</t>
  </si>
  <si>
    <t>Создание и изменение заказов на закупку</t>
  </si>
  <si>
    <t>SAP_PO_APPROVER</t>
  </si>
  <si>
    <t>Согласование заказа на закупку</t>
  </si>
  <si>
    <t>Согласование и выпуск заказов на закупку</t>
  </si>
  <si>
    <t>MDM_VENDOR_ADMIN_TS5</t>
  </si>
  <si>
    <t>Администратор поставщиков — Пятёрочка</t>
  </si>
  <si>
    <t>Создание и изменение мастер-данных поставщика</t>
  </si>
  <si>
    <t>SAP_AP_PAYER</t>
  </si>
  <si>
    <t>Исполнение платежей</t>
  </si>
  <si>
    <t>Формирование и запуск платежных операций</t>
  </si>
  <si>
    <t>Контроль качества</t>
  </si>
  <si>
    <t>ИС</t>
  </si>
  <si>
    <t>Операция доступа</t>
  </si>
  <si>
    <t>Функциональное действие</t>
  </si>
  <si>
    <t>Бизнес-результат</t>
  </si>
  <si>
    <t>Бизнес-объект</t>
  </si>
  <si>
    <t>Статус функционального описания</t>
  </si>
  <si>
    <t>Способ получения полномочия</t>
  </si>
  <si>
    <t>Нормализованное SoD-действие</t>
  </si>
  <si>
    <t>Класс SoD</t>
  </si>
  <si>
    <t>Дополнительный признак</t>
  </si>
  <si>
    <t>Статус мэппинга</t>
  </si>
  <si>
    <t>Комментарий / вопрос ЦЭ</t>
  </si>
  <si>
    <t>Проверка заполнения</t>
  </si>
  <si>
    <t>VENDOR_BANK_MAINT</t>
  </si>
  <si>
    <t>Изменение банковских реквизитов поставщика</t>
  </si>
  <si>
    <t>Изменение</t>
  </si>
  <si>
    <t>Мастер-данные поставщика</t>
  </si>
  <si>
    <t>Компания=1000; все поставщики</t>
  </si>
  <si>
    <t>Изменяет банковские реквизиты поставщика</t>
  </si>
  <si>
    <t>Платёжные реквизиты обновлены</t>
  </si>
  <si>
    <t>Карточка поставщика / банковский счёт</t>
  </si>
  <si>
    <t>По подтверждённой заявке</t>
  </si>
  <si>
    <t>По документации</t>
  </si>
  <si>
    <t>Через дочернюю роль</t>
  </si>
  <si>
    <t>REC</t>
  </si>
  <si>
    <t>Мастер-данные</t>
  </si>
  <si>
    <t>Сопоставлено</t>
  </si>
  <si>
    <t>Конфликтует с исполнением платежа в той же композитной роли.</t>
  </si>
  <si>
    <t>OK</t>
  </si>
  <si>
    <t>F110_EXEC</t>
  </si>
  <si>
    <t>Запуск платёжного прогона</t>
  </si>
  <si>
    <t>Исполнение</t>
  </si>
  <si>
    <t>Платёжный прогон</t>
  </si>
  <si>
    <t>Компания=1000; все платежи</t>
  </si>
  <si>
    <t>Запускает платежи поставщикам</t>
  </si>
  <si>
    <t>Платёж сформирован и отправлен</t>
  </si>
  <si>
    <t>Денежные средства / платёж поставщику</t>
  </si>
  <si>
    <t>После утверждения платёжного реестра</t>
  </si>
  <si>
    <t>Исполняет платёж поставщику</t>
  </si>
  <si>
    <t>CUS</t>
  </si>
  <si>
    <t>Конфликтует с изменением реквизитов поставщика.</t>
  </si>
  <si>
    <t>GOODS_ISSUE</t>
  </si>
  <si>
    <t>Выдача товара со склада</t>
  </si>
  <si>
    <t>Складская операция выдачи</t>
  </si>
  <si>
    <t>Склад=WH01</t>
  </si>
  <si>
    <t>Выдаёт или перемещает товар</t>
  </si>
  <si>
    <t>Товар физически передан / перемещён</t>
  </si>
  <si>
    <t>Товарные запасы</t>
  </si>
  <si>
    <t>В пределах закреплённого склада</t>
  </si>
  <si>
    <t>Уточнено с бизнесом</t>
  </si>
  <si>
    <t>Собственное</t>
  </si>
  <si>
    <t>Осуществляет физическое движение товара</t>
  </si>
  <si>
    <t>Проверять совместно с правом корректировки остатков.</t>
  </si>
  <si>
    <t>INV_ADJUST</t>
  </si>
  <si>
    <t>Ручная корректировка остатка</t>
  </si>
  <si>
    <t>Учётный остаток товара</t>
  </si>
  <si>
    <t>Корректирует учётный остаток</t>
  </si>
  <si>
    <t>Учётный остаток изменён</t>
  </si>
  <si>
    <t>Только по подтверждённым расхождениям</t>
  </si>
  <si>
    <t>Корректирует учётный остаток товара</t>
  </si>
  <si>
    <t>Проверять совместно с физическим движением товара.</t>
  </si>
  <si>
    <t>PO_CREATE</t>
  </si>
  <si>
    <t>Создание</t>
  </si>
  <si>
    <t>Заказ на закупку</t>
  </si>
  <si>
    <t>Закупочная организация=1000</t>
  </si>
  <si>
    <t>Создаёт заказ на закупку</t>
  </si>
  <si>
    <t>Обязательство по закупке зафиксировано</t>
  </si>
  <si>
    <t>В пределах закреплённой категории</t>
  </si>
  <si>
    <t>Наследовано из шаблона</t>
  </si>
  <si>
    <t>Создаёт запись об обязательстве по закупке</t>
  </si>
  <si>
    <t>Проверять с правом согласования того же заказа.</t>
  </si>
  <si>
    <t>PO_RELEASE</t>
  </si>
  <si>
    <t>Согласование</t>
  </si>
  <si>
    <t>Согласует и выпускает заказ</t>
  </si>
  <si>
    <t>Заказ разрешён к исполнению</t>
  </si>
  <si>
    <t>В пределах лимита согласования</t>
  </si>
  <si>
    <t>Авторизует заказ на закупку</t>
  </si>
  <si>
    <t>AUT</t>
  </si>
  <si>
    <t>Проверять с правом создания того же заказа.</t>
  </si>
  <si>
    <t>Актив=Пятёрочка</t>
  </si>
  <si>
    <t>По согласованной заявке</t>
  </si>
  <si>
    <t>Риск локален для производной роли Пятёрочки при пересечении платёжного scope.</t>
  </si>
  <si>
    <t>Компания=1000</t>
  </si>
  <si>
    <t>Платёж исполнен</t>
  </si>
  <si>
    <t>Проверять с правами изменения реквизитов поставщика.</t>
  </si>
  <si>
    <t>Служебные поля</t>
  </si>
  <si>
    <t>Дата среза</t>
  </si>
  <si>
    <t>User ID / логин</t>
  </si>
  <si>
    <t>ФИО</t>
  </si>
  <si>
    <t>Подразделение</t>
  </si>
  <si>
    <t>Должность</t>
  </si>
  <si>
    <t>Актив / БЕ</t>
  </si>
  <si>
    <t>Фактические значения scope</t>
  </si>
  <si>
    <t>Статус назначения</t>
  </si>
  <si>
    <t>u001</t>
  </si>
  <si>
    <t>Петров П.П.</t>
  </si>
  <si>
    <t>Финансовый сервис</t>
  </si>
  <si>
    <t>Специалист AP</t>
  </si>
  <si>
    <t>Компания=1000; актив=Пятёрочка</t>
  </si>
  <si>
    <t>Активно</t>
  </si>
  <si>
    <t>u002</t>
  </si>
  <si>
    <t>Иванов И.И.</t>
  </si>
  <si>
    <t>Центральный склад</t>
  </si>
  <si>
    <t>u003</t>
  </si>
  <si>
    <t>Сидорова А.А.</t>
  </si>
  <si>
    <t>Специалист MDM</t>
  </si>
  <si>
    <t>Управление анализом</t>
  </si>
  <si>
    <t>Контекст конфликта</t>
  </si>
  <si>
    <t>Риск-гипотеза</t>
  </si>
  <si>
    <t>Критерии подтверждения</t>
  </si>
  <si>
    <t>Решение и применимость риска</t>
  </si>
  <si>
    <t>ID анализа</t>
  </si>
  <si>
    <t>Рабочий статус</t>
  </si>
  <si>
    <t>Бизнес-объект 1</t>
  </si>
  <si>
    <t>Класс SoD 1</t>
  </si>
  <si>
    <t>Бизнес-объект 2</t>
  </si>
  <si>
    <t>Класс SoD 2</t>
  </si>
  <si>
    <t>Уровень конфликта</t>
  </si>
  <si>
    <t>Системный контур</t>
  </si>
  <si>
    <t>Связь объекта / scope</t>
  </si>
  <si>
    <t>Достижимая последовательность</t>
  </si>
  <si>
    <t>Конкретное злоупотребление</t>
  </si>
  <si>
    <t>Способ сокрытия</t>
  </si>
  <si>
    <t>Последствие</t>
  </si>
  <si>
    <t>К1 Единый субъект</t>
  </si>
  <si>
    <t>К2 Связанный объект / scope</t>
  </si>
  <si>
    <t>К3 Реализуемая последовательность</t>
  </si>
  <si>
    <t>К4 Возможность злоупотребления</t>
  </si>
  <si>
    <t>К5 Возможность сокрытия</t>
  </si>
  <si>
    <t>Итог анализа</t>
  </si>
  <si>
    <t>Причина неподтверждения</t>
  </si>
  <si>
    <t>Активы / БЕ, для которых риск подтверждён</t>
  </si>
  <si>
    <t>Область применения риска</t>
  </si>
  <si>
    <t>Завершён</t>
  </si>
  <si>
    <t>Внутри одной роли</t>
  </si>
  <si>
    <t>Одна ИС</t>
  </si>
  <si>
    <t>Один объект / scope</t>
  </si>
  <si>
    <t>Изменение банковских реквизитов поставщика → исполнение платежа</t>
  </si>
  <si>
    <t>Пользователь подменяет банковский счёт поставщика и переводит средства на подконтрольный счёт</t>
  </si>
  <si>
    <t>Платёж проводится по изменённым мастер-данным и выглядит штатным</t>
  </si>
  <si>
    <t>Финансовые потери и искажение мастер-данных</t>
  </si>
  <si>
    <t>Несколько активов</t>
  </si>
  <si>
    <t>Между ролями</t>
  </si>
  <si>
    <t>Выдача товара → ручная корректировка остатка</t>
  </si>
  <si>
    <t>Пользователь выдаёт товар без основания и корректирует остаток</t>
  </si>
  <si>
    <t>Корректировка маскирует недостачу</t>
  </si>
  <si>
    <t>Утрата товарных запасов и искажение складского учёта</t>
  </si>
  <si>
    <t>Локально в активе</t>
  </si>
  <si>
    <t>Создание заказа → самостоятельное согласование</t>
  </si>
  <si>
    <t>Пользователь создаёт несанкционированный заказ и сам выпускает его</t>
  </si>
  <si>
    <t>Заказ получает штатный статус согласованного</t>
  </si>
  <si>
    <t>Необоснованные закупочные обязательства</t>
  </si>
  <si>
    <t>Не требуется</t>
  </si>
  <si>
    <t>Между ИС</t>
  </si>
  <si>
    <t>Пересекающийся scope</t>
  </si>
  <si>
    <t>Изменение реквизитов в MDM → исполнение платежа в SAP</t>
  </si>
  <si>
    <t>Пользователь меняет реквизиты поставщика Пятёрочки и исполняет платёж</t>
  </si>
  <si>
    <t>Разные системы скрывают единую цепочку действий</t>
  </si>
  <si>
    <t>Финансовые потери</t>
  </si>
  <si>
    <t>Уровень применения правила</t>
  </si>
  <si>
    <t>Контур исполнения</t>
  </si>
  <si>
    <t>Изменение композитной роли</t>
  </si>
  <si>
    <t>ИС-источник</t>
  </si>
  <si>
    <t>В реализации</t>
  </si>
  <si>
    <t>Запрет совместного назначения</t>
  </si>
  <si>
    <t>АСУД</t>
  </si>
  <si>
    <t>На согласовании</t>
  </si>
  <si>
    <t>Черновик</t>
  </si>
  <si>
    <t>Условный по scope</t>
  </si>
  <si>
    <t>АСУД и ИС</t>
  </si>
  <si>
    <t>Одна строка = один факт нарушения технического правила у пользователя с учётом актива и фактического scope.</t>
  </si>
  <si>
    <t>ID конфликта</t>
  </si>
  <si>
    <t>Фактический scope</t>
  </si>
  <si>
    <t>Решение</t>
  </si>
  <si>
    <t>Обоснование по пользователю / исключению</t>
  </si>
  <si>
    <t>Срок устранения</t>
  </si>
  <si>
    <t>ПРИМЕР-CONF-001</t>
  </si>
  <si>
    <t>Компания=1000; поставщики Пятёрочки</t>
  </si>
  <si>
    <t>Ручной анализ</t>
  </si>
  <si>
    <t>Изменить состав роли</t>
  </si>
  <si>
    <t>Пользователь сохраняет только платёжную функцию</t>
  </si>
  <si>
    <t>ПРИМЕР-CONF-002</t>
  </si>
  <si>
    <t>Отозвать роль 2</t>
  </si>
  <si>
    <t>Роль корректировки не входит в должностные обязанности</t>
  </si>
  <si>
    <t>ПРИМЕР-CONF-003</t>
  </si>
  <si>
    <t>Актив=Пятёрочка; компания=1000</t>
  </si>
  <si>
    <t>Оформить исключение</t>
  </si>
  <si>
    <t>Справочники</t>
  </si>
  <si>
    <t>Служебные значения для выпадающих списков.</t>
  </si>
  <si>
    <t>Назначаемость</t>
  </si>
  <si>
    <t>Консультация бизнеса</t>
  </si>
  <si>
    <t>Статус анализа</t>
  </si>
  <si>
    <t>Критерий</t>
  </si>
  <si>
    <t>Направление митигации</t>
  </si>
  <si>
    <t>Да / Нет</t>
  </si>
  <si>
    <t>Статус технического правила</t>
  </si>
  <si>
    <t>Источник фактического конфликта</t>
  </si>
  <si>
    <t>Решение по конфликту</t>
  </si>
  <si>
    <t>Просмотр</t>
  </si>
  <si>
    <t>Изменение простой роли</t>
  </si>
  <si>
    <t>Отозвать роль 1</t>
  </si>
  <si>
    <t>Требуется уточнение</t>
  </si>
  <si>
    <t>На уточнении</t>
  </si>
  <si>
    <t>Администрирование доступа</t>
  </si>
  <si>
    <t>Не относится к SoD</t>
  </si>
  <si>
    <t>Разный scope</t>
  </si>
  <si>
    <t>Не установлено</t>
  </si>
  <si>
    <t>Общегрупповая</t>
  </si>
  <si>
    <t>Изменение шаблона</t>
  </si>
  <si>
    <t>Общегрупповой</t>
  </si>
  <si>
    <t>Удаление</t>
  </si>
  <si>
    <t>Через бизнес-роль / пакет</t>
  </si>
  <si>
    <t>VER</t>
  </si>
  <si>
    <t>Критическая конфигурация</t>
  </si>
  <si>
    <t>Требует анализа</t>
  </si>
  <si>
    <t>Изменение производной роли</t>
  </si>
  <si>
    <t>Ручной контроль</t>
  </si>
  <si>
    <t>Реализовано</t>
  </si>
  <si>
    <t>Не относится</t>
  </si>
  <si>
    <t>Изменение пакета ролей</t>
  </si>
  <si>
    <t>Отменено</t>
  </si>
  <si>
    <t>Ввести компенсирующий контроль</t>
  </si>
  <si>
    <t>Отправка</t>
  </si>
  <si>
    <t>Конфликт не подтвердился</t>
  </si>
  <si>
    <t>Администрирование</t>
  </si>
  <si>
    <t>Комбинированное решение</t>
  </si>
  <si>
    <t>Другое</t>
  </si>
  <si>
    <t>Базовый принцип: конфликтующие полномочия внутри одной роли недопустимы. Межролевые конфликты контролируются при назначении. Подтверждённые строки листа «SoD-анализ» образуют рабочую матрицу SoD-рисков.</t>
  </si>
  <si>
    <t>Название</t>
  </si>
  <si>
    <t>ПРИМЕР: команда продукта / БЕ-тех</t>
  </si>
  <si>
    <t>ID продукта</t>
  </si>
  <si>
    <t>Карточка продукта</t>
  </si>
  <si>
    <t>Пользователи</t>
  </si>
  <si>
    <t>Эксперты от БЕ Тех</t>
  </si>
  <si>
    <t>Управление закупок
Управление ценообразованием</t>
  </si>
  <si>
    <t>Заполняет владелец продукта / ЦЭ</t>
  </si>
  <si>
    <t>На данном листе фиксируются перечень ИС и подразделений-пользователей в рамках выбранного продукта</t>
  </si>
  <si>
    <t>Контекст волны / служебные поля (автозаполнение)</t>
  </si>
  <si>
    <t>АЦО</t>
  </si>
  <si>
    <t>ИС и Пользователи</t>
  </si>
  <si>
    <t>Возможные условия использования</t>
  </si>
  <si>
    <t>SOD-Интерпретация</t>
  </si>
  <si>
    <t>ID Продукта</t>
  </si>
  <si>
    <t>ЦЭ заполняет данный лист, для этого формирует конфликтные пары прав с листа "Роли и права" и описывает возможную риск-гипотезу</t>
  </si>
  <si>
    <t>ЦЭ формирует риск-гипотезу только при наличии реализуемой цепочки злоупотребления и пересекающегося объекта / scope.</t>
  </si>
  <si>
    <t>Руководитель подразделения подвтерждает или не подтверждает предложенные риск-гипотезы. В случае неподтверждения предоставлеят обоснование</t>
  </si>
  <si>
    <t>Разработка ККП</t>
  </si>
  <si>
    <t>Технические правил формируются ЦЭ из этого же листа сортировкой по подтвержденным рискам</t>
  </si>
  <si>
    <t>БЕ Тех / владелец платформы / продукта / бизнес-аналитики</t>
  </si>
  <si>
    <t>Руководители СП</t>
  </si>
  <si>
    <t>Технический код права / разрешения внутри роли5</t>
  </si>
  <si>
    <t>Наименование права / разрешения внутри роли6</t>
  </si>
  <si>
    <t>Вид операция доступа к данным7</t>
  </si>
  <si>
    <t>Технический объект / ресурс в отношении которого реализуются права роли8</t>
  </si>
  <si>
    <t>Технический scope, определяющий границы действия прав9</t>
  </si>
  <si>
    <t>Бизнес-роль / должность</t>
  </si>
  <si>
    <t>SAP</t>
  </si>
  <si>
    <t>Нормализованное SoD-действие (шаг 2)</t>
  </si>
  <si>
    <t>ИС 1 (шаг 1)</t>
  </si>
  <si>
    <t>Код роли 1 (шаг 1)</t>
  </si>
  <si>
    <t>Наименование роли 1 (шаг 1)</t>
  </si>
  <si>
    <t>ИС 2 (шаг 1)</t>
  </si>
  <si>
    <t>Код роли 2 (шаг 1)</t>
  </si>
  <si>
    <t>Наименование роли 2 (шаг 1)</t>
  </si>
  <si>
    <t>Нормализованное SoD-действие 2 (шаг 2)</t>
  </si>
  <si>
    <t>Отдел логистики</t>
  </si>
  <si>
    <t>Граблев А.А.</t>
  </si>
  <si>
    <t>u004</t>
  </si>
  <si>
    <t>Логист</t>
  </si>
  <si>
    <t>Данные на вход для руководителей (из Шага 1)</t>
  </si>
  <si>
    <t xml:space="preserve">Код роли </t>
  </si>
  <si>
    <t xml:space="preserve">Назначение роли </t>
  </si>
  <si>
    <t xml:space="preserve">ФИО </t>
  </si>
  <si>
    <t>Технический код права / разрешения внутри роли52</t>
  </si>
  <si>
    <t>Конфликт слева</t>
  </si>
  <si>
    <t>Конфликт справа</t>
  </si>
  <si>
    <t>Наименование права / разрешения внутри роли63</t>
  </si>
  <si>
    <t>Вид операция доступа к данным72</t>
  </si>
  <si>
    <t>Технический объект / ресурс в отношении которого реализуются права роли83</t>
  </si>
  <si>
    <t>Технический scope, определяющий границы действия прав94</t>
  </si>
  <si>
    <t>SoD-риск подтверждён 1 линией</t>
  </si>
  <si>
    <t>Риск не подтверждён 1  линией</t>
  </si>
  <si>
    <t>Решение по митигации</t>
  </si>
  <si>
    <t>Разделить роль содержающую конфликт</t>
  </si>
  <si>
    <t>Внести в АСУД запрет присвоения
Изъять у сотрудников конфликтные роли</t>
  </si>
  <si>
    <t>Шаг 1</t>
  </si>
  <si>
    <t>Шаг 2</t>
  </si>
  <si>
    <t>Шаг 3</t>
  </si>
  <si>
    <t>Шаг 4</t>
  </si>
  <si>
    <t>Шаг 5</t>
  </si>
  <si>
    <t>Шаг 6</t>
  </si>
  <si>
    <t>Выгрузка данных о ролях и пользователях</t>
  </si>
  <si>
    <t>Выгружает данные по фактически используемых и присвоенных ролях сотрудникам по выбранным продуктами в разрезе ИС</t>
  </si>
  <si>
    <t>Предоставляют описания функционала (действий) сотрудников в рамках должности, в рамках платформы / продукта / ИС по присвоенным ролям листа "Назначения (шаг 1)"</t>
  </si>
  <si>
    <t>Функциональное описание роли</t>
  </si>
  <si>
    <t>Определение конфликтов в бизнес-ролях</t>
  </si>
  <si>
    <t>Заполнен лист "Назначения"</t>
  </si>
  <si>
    <t>Заполнен лист "Роли и Права" - столбцы I-M</t>
  </si>
  <si>
    <t>Заполнен лист "SoD-анализ" - столбцы C-E, N-P, Y-AO</t>
  </si>
  <si>
    <t>ЦЭ по ВК / Руководители СП</t>
  </si>
  <si>
    <t>ЦЭ по ВК / БЕ Тех</t>
  </si>
  <si>
    <t>Роль администратора не входит в должностные обязанности</t>
  </si>
  <si>
    <t>Вид операция доступа к данным74</t>
  </si>
  <si>
    <t>Технический объект / ресурс в отношении которого реализуются права роли85</t>
  </si>
  <si>
    <t>Технический scope, определяющий границы действия прав96</t>
  </si>
  <si>
    <t>Определение технического состава ролей в рамках которых реализется  бизнес бизнес-функционал</t>
  </si>
  <si>
    <t>Заполнен лист "Роли и Права" - столбцы N-U</t>
  </si>
  <si>
    <t>Классифицирует действиях выполняемые в рамках бизнес-ролей по SOD признаками</t>
  </si>
  <si>
    <t>Заполнен лист "Роли и Права" - столбцы V-Z</t>
  </si>
  <si>
    <t>Из шага 3</t>
  </si>
  <si>
    <t>1) ЦЭ заправшивает а БЕ Тех предоставляет техническое наполнение ролей по бизнес-функциям
2) ЦЭ проверяет полноту: а) нет бизнес-функций без технических ролей и б) нет технических ролей / полномочий, которые есть у сотрудников, но для который не определены бизнес-функции</t>
  </si>
  <si>
    <t>ПРИМЕР-CONF-004</t>
  </si>
  <si>
    <t>Из шага 5</t>
  </si>
  <si>
    <t>Из шага 1</t>
  </si>
  <si>
    <t>Исполнитель</t>
  </si>
  <si>
    <t>Роль Создание заказа на закупку не входит в должностные обязанности</t>
  </si>
  <si>
    <t>Решение по устранению конфликта</t>
  </si>
  <si>
    <t>Определение фактических конфликтов на пользователях</t>
  </si>
  <si>
    <t>На базе информации о фактических назначениях (шаг 1) и выявленных конфликтах (шаг 5) формирует перечень фактических конфликтов на пользователях и фиксирует решения по устранению</t>
  </si>
  <si>
    <t>Заполнен лист "фактические конфликты" - столбцы I-L</t>
  </si>
  <si>
    <t>Шаг 7</t>
  </si>
  <si>
    <t>Настройка АСУД</t>
  </si>
  <si>
    <t>ДР</t>
  </si>
  <si>
    <t>На базе информации выявленных конфликтах (шаг 5) формирует технические правила разделения полномочий и заводит правила в АСУД</t>
  </si>
  <si>
    <t>Правила отражены в АСУД, новые присвоения заблокированы</t>
  </si>
  <si>
    <t>Листы</t>
  </si>
  <si>
    <t>Бизнес функции готовы для SoD анализа</t>
  </si>
  <si>
    <t>Обязаности перераспределены, конфликтные роли отозваны</t>
  </si>
  <si>
    <t>Подтверждены риск-сценарии с использованием конфликтных полномочий
Инициировано разделение ролей, содержащих конфликты</t>
  </si>
  <si>
    <t>Мэпинг бизнес ролей и технических ролей</t>
  </si>
  <si>
    <t>Перечень присвоенией в разрезе продуктов и ИС</t>
  </si>
  <si>
    <t>Описан бизнес-функционал в рамках продуктов и ИС</t>
  </si>
  <si>
    <t>1) На основании нормализованных SOD действий, и возможных сценариев реализации злоупотреблений формирует пары конфликтных полномчий (столбцы C-E, N-P), при этом формируются риск-гипотезы (столбцы AB-AE) и оцениваются критерии подтверждения гипотезы (AF-AJ). 
2) Выявленные риск-гипотезы ЦЭ подтверждает с руководителями СП и формирует решение по митигации (столбцы AK - AO)</t>
  </si>
  <si>
    <r>
      <rPr>
        <b/>
        <sz val="12"/>
        <color rgb="FFFF0000"/>
        <rFont val="Carlito"/>
      </rPr>
      <t xml:space="preserve">Шаг 5 </t>
    </r>
    <r>
      <rPr>
        <b/>
        <sz val="12"/>
        <color rgb="FF1F1F1F"/>
        <rFont val="Carlito"/>
      </rPr>
      <t>- определить конфликты в бизнес-ролях</t>
    </r>
  </si>
  <si>
    <r>
      <rPr>
        <b/>
        <sz val="12"/>
        <color rgb="FFFF0000"/>
        <rFont val="Carlito"/>
      </rPr>
      <t>Шаг 5</t>
    </r>
    <r>
      <rPr>
        <b/>
        <sz val="12"/>
        <color rgb="FF1F1F1F"/>
        <rFont val="Carlito"/>
      </rPr>
      <t xml:space="preserve"> - определить конфликты в бизнес-ролях</t>
    </r>
  </si>
  <si>
    <r>
      <rPr>
        <b/>
        <sz val="12"/>
        <color rgb="FFFF0000"/>
        <rFont val="Carlito"/>
      </rPr>
      <t xml:space="preserve">Шаг 2 </t>
    </r>
    <r>
      <rPr>
        <b/>
        <sz val="12"/>
        <color rgb="FF1F1F1F"/>
        <rFont val="Carlito"/>
      </rPr>
      <t>-  Функциональное описание роли - данные для заполнения этого блока предоставляют руководители СП по запросу ЦЭ</t>
    </r>
  </si>
  <si>
    <r>
      <rPr>
        <b/>
        <sz val="12"/>
        <color rgb="FFFF0000"/>
        <rFont val="Carlito"/>
      </rPr>
      <t>Шаг 3</t>
    </r>
    <r>
      <rPr>
        <b/>
        <sz val="12"/>
        <color rgb="FF1F1F1F"/>
        <rFont val="Carlito"/>
      </rPr>
      <t xml:space="preserve"> - по бизнес-ролям, ты определить технический состав ролей обеспечивающий данный бизнес-функционал</t>
    </r>
  </si>
  <si>
    <r>
      <rPr>
        <b/>
        <sz val="12"/>
        <color rgb="FFFF0000"/>
        <rFont val="Carlito"/>
      </rPr>
      <t>Шаг 4</t>
    </r>
    <r>
      <rPr>
        <b/>
        <sz val="12"/>
        <color rgb="FF1F1F1F"/>
        <rFont val="Carlito"/>
      </rPr>
      <t xml:space="preserve"> - SOD-Интерпретация - Заполняет ЦЭ по ВК</t>
    </r>
  </si>
  <si>
    <r>
      <rPr>
        <b/>
        <sz val="12"/>
        <color rgb="FFFF0000"/>
        <rFont val="Carlito"/>
      </rPr>
      <t>Шаг 1</t>
    </r>
    <r>
      <rPr>
        <b/>
        <sz val="12"/>
        <color rgb="FF1F1F1F"/>
        <rFont val="Carlito"/>
      </rPr>
      <t xml:space="preserve"> - БЕ Тех - выгрузка назначений</t>
    </r>
  </si>
  <si>
    <t>На данном листе приводится список назначений всех ролей, относящихся к выбранному продукту и ИС 
Одна строка = назначение одной роли одному пользователю.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</si>
</sst>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1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sz val="9"/>
      <color rgb="FF0563C1"/>
      <name val="Carlito"/>
    </font>
    <font>
      <b/>
      <sz val="11"/>
      <color rgb="FF7F6000"/>
      <name val="Carlito"/>
    </font>
    <font>
      <b/>
      <sz val="11"/>
      <name val="Carlito"/>
    </font>
    <font>
      <b/>
      <sz val="12"/>
      <name val="Carlito"/>
    </font>
    <font>
      <b/>
      <sz val="11"/>
      <color rgb="FF1F1F1F"/>
      <name val="Carlito"/>
    </font>
    <font>
      <b/>
      <sz val="10"/>
      <color rgb="FF1F1F1F"/>
      <name val="Carlito"/>
    </font>
    <font>
      <sz val="11"/>
      <name val="Carlito"/>
    </font>
    <font>
      <b/>
      <sz val="11"/>
      <color theme="1"/>
      <name val="Carlito"/>
    </font>
    <font>
      <b/>
      <sz val="12"/>
      <color rgb="FF1F1F1F"/>
      <name val="Carlito"/>
    </font>
    <font>
      <i/>
      <sz val="11"/>
      <color rgb="FF1F1F1F"/>
      <name val="Carlito"/>
    </font>
    <font>
      <b/>
      <sz val="14"/>
      <color rgb="FF1F1F1F"/>
      <name val="Carlito"/>
    </font>
    <font>
      <sz val="11"/>
      <color theme="1"/>
      <name val="Carlito"/>
    </font>
    <font>
      <b/>
      <sz val="10"/>
      <color theme="1"/>
      <name val="Carlito"/>
    </font>
    <font>
      <sz val="12"/>
      <name val="Carlito"/>
    </font>
    <font>
      <i/>
      <sz val="12"/>
      <color rgb="FF1F1F1F"/>
      <name val="Carlito"/>
    </font>
    <font>
      <b/>
      <sz val="12"/>
      <color rgb="FFFF0000"/>
      <name val="Carlito"/>
    </font>
    <font>
      <sz val="12"/>
      <color rgb="FF0563C1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FFBE6"/>
      </patternFill>
    </fill>
    <fill>
      <patternFill patternType="solid">
        <fgColor rgb="FFEAF3F8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1F4E78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0" fontId="10" fillId="0" borderId="0"/>
  </cellStyleXfs>
  <cellXfs count="155">
    <xf numFmtId="0" fontId="0" fillId="0" borderId="0" xfId="0"/>
    <xf numFmtId="0" fontId="3" fillId="2" borderId="0" xfId="1" applyNumberFormat="1" applyFont="1" applyFill="1" applyBorder="1" applyAlignment="1">
      <alignment wrapText="1"/>
    </xf>
    <xf numFmtId="0" fontId="4" fillId="0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wrapText="1"/>
    </xf>
    <xf numFmtId="0" fontId="8" fillId="9" borderId="0" xfId="1" applyNumberFormat="1" applyFont="1" applyFill="1" applyBorder="1" applyAlignment="1">
      <alignment horizontal="center" vertical="center" wrapText="1"/>
    </xf>
    <xf numFmtId="0" fontId="9" fillId="9" borderId="0" xfId="1" applyNumberFormat="1" applyFont="1" applyFill="1" applyBorder="1" applyAlignment="1">
      <alignment horizontal="center" vertical="center" wrapText="1"/>
    </xf>
    <xf numFmtId="0" fontId="9" fillId="5" borderId="0" xfId="1" applyNumberFormat="1" applyFont="1" applyFill="1" applyBorder="1" applyAlignment="1">
      <alignment horizontal="center" vertical="center" wrapText="1"/>
    </xf>
    <xf numFmtId="0" fontId="9" fillId="10" borderId="0" xfId="1" applyNumberFormat="1" applyFont="1" applyFill="1" applyBorder="1" applyAlignment="1">
      <alignment horizontal="center" vertical="center" wrapText="1"/>
    </xf>
    <xf numFmtId="0" fontId="0" fillId="9" borderId="0" xfId="1" applyNumberFormat="1" applyFont="1" applyFill="1" applyBorder="1" applyAlignment="1">
      <alignment wrapText="1"/>
    </xf>
    <xf numFmtId="164" fontId="0" fillId="0" borderId="0" xfId="1" applyNumberFormat="1" applyFont="1" applyFill="1" applyBorder="1" applyAlignment="1">
      <alignment wrapText="1"/>
    </xf>
    <xf numFmtId="0" fontId="9" fillId="6" borderId="0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1" applyNumberFormat="1" applyFont="1" applyFill="1" applyBorder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vertical="center" wrapText="1"/>
    </xf>
    <xf numFmtId="0" fontId="0" fillId="0" borderId="1" xfId="1" applyNumberFormat="1" applyFont="1" applyFill="1" applyBorder="1" applyAlignment="1">
      <alignment vertical="center" wrapText="1"/>
    </xf>
    <xf numFmtId="0" fontId="3" fillId="2" borderId="0" xfId="1" applyNumberFormat="1" applyFont="1" applyFill="1" applyBorder="1" applyAlignment="1">
      <alignment vertical="center"/>
    </xf>
    <xf numFmtId="0" fontId="6" fillId="5" borderId="0" xfId="1" applyNumberFormat="1" applyFont="1" applyFill="1" applyBorder="1" applyAlignment="1">
      <alignment vertical="center" wrapText="1"/>
    </xf>
    <xf numFmtId="0" fontId="0" fillId="7" borderId="0" xfId="1" applyNumberFormat="1" applyFont="1" applyFill="1" applyBorder="1" applyAlignment="1">
      <alignment vertical="center" wrapText="1"/>
    </xf>
    <xf numFmtId="0" fontId="6" fillId="3" borderId="0" xfId="1" applyNumberFormat="1" applyFont="1" applyFill="1" applyBorder="1" applyAlignment="1">
      <alignment vertical="center"/>
    </xf>
    <xf numFmtId="0" fontId="7" fillId="9" borderId="0" xfId="1" applyNumberFormat="1" applyFont="1" applyFill="1" applyBorder="1" applyAlignment="1">
      <alignment vertical="center"/>
    </xf>
    <xf numFmtId="164" fontId="0" fillId="7" borderId="0" xfId="1" applyNumberFormat="1" applyFont="1" applyFill="1" applyBorder="1" applyAlignment="1">
      <alignment vertical="center" wrapText="1"/>
    </xf>
    <xf numFmtId="0" fontId="11" fillId="5" borderId="0" xfId="1" applyNumberFormat="1" applyFont="1" applyFill="1" applyBorder="1" applyAlignment="1">
      <alignment vertical="center" wrapText="1"/>
    </xf>
    <xf numFmtId="0" fontId="0" fillId="8" borderId="0" xfId="1" applyNumberFormat="1" applyFont="1" applyFill="1" applyBorder="1" applyAlignment="1">
      <alignment vertical="center"/>
    </xf>
    <xf numFmtId="0" fontId="9" fillId="5" borderId="1" xfId="1" applyNumberFormat="1" applyFont="1" applyFill="1" applyBorder="1" applyAlignment="1">
      <alignment horizontal="center" vertical="center" wrapText="1"/>
    </xf>
    <xf numFmtId="0" fontId="0" fillId="8" borderId="0" xfId="1" applyNumberFormat="1" applyFont="1" applyFill="1" applyBorder="1" applyAlignment="1">
      <alignment vertical="center" wrapText="1"/>
    </xf>
    <xf numFmtId="0" fontId="0" fillId="8" borderId="1" xfId="1" applyNumberFormat="1" applyFont="1" applyFill="1" applyBorder="1" applyAlignment="1">
      <alignment vertical="center" wrapText="1"/>
    </xf>
    <xf numFmtId="0" fontId="0" fillId="9" borderId="0" xfId="1" applyNumberFormat="1" applyFont="1" applyFill="1" applyBorder="1" applyAlignment="1">
      <alignment vertical="center" wrapText="1"/>
    </xf>
    <xf numFmtId="0" fontId="2" fillId="3" borderId="1" xfId="1" applyNumberFormat="1" applyFont="1" applyFill="1" applyBorder="1" applyAlignment="1">
      <alignment vertical="center" wrapText="1"/>
    </xf>
    <xf numFmtId="0" fontId="0" fillId="9" borderId="1" xfId="1" applyNumberFormat="1" applyFont="1" applyFill="1" applyBorder="1" applyAlignment="1">
      <alignment wrapText="1"/>
    </xf>
    <xf numFmtId="0" fontId="13" fillId="3" borderId="1" xfId="1" applyNumberFormat="1" applyFont="1" applyFill="1" applyBorder="1" applyAlignment="1">
      <alignment vertical="center" wrapText="1"/>
    </xf>
    <xf numFmtId="0" fontId="13" fillId="3" borderId="1" xfId="1" applyNumberFormat="1" applyFont="1" applyFill="1" applyBorder="1" applyAlignment="1">
      <alignment vertical="center"/>
    </xf>
    <xf numFmtId="0" fontId="2" fillId="3" borderId="1" xfId="1" applyNumberFormat="1" applyFont="1" applyFill="1" applyBorder="1" applyAlignment="1">
      <alignment vertical="center" wrapText="1"/>
    </xf>
    <xf numFmtId="0" fontId="0" fillId="9" borderId="1" xfId="1" applyNumberFormat="1" applyFont="1" applyFill="1" applyBorder="1" applyAlignment="1">
      <alignment vertical="center" wrapText="1"/>
    </xf>
    <xf numFmtId="164" fontId="0" fillId="8" borderId="0" xfId="1" applyNumberFormat="1" applyFont="1" applyFill="1" applyBorder="1" applyAlignment="1">
      <alignment vertical="center" wrapText="1"/>
    </xf>
    <xf numFmtId="164" fontId="0" fillId="0" borderId="0" xfId="1" applyNumberFormat="1" applyFont="1" applyFill="1" applyBorder="1" applyAlignment="1">
      <alignment vertical="center" wrapText="1"/>
    </xf>
    <xf numFmtId="0" fontId="12" fillId="18" borderId="1" xfId="1" applyNumberFormat="1" applyFont="1" applyFill="1" applyBorder="1" applyAlignment="1">
      <alignment vertical="center" wrapText="1"/>
    </xf>
    <xf numFmtId="0" fontId="9" fillId="17" borderId="0" xfId="1" applyNumberFormat="1" applyFont="1" applyFill="1" applyBorder="1" applyAlignment="1">
      <alignment horizontal="center" vertical="center" wrapText="1"/>
    </xf>
    <xf numFmtId="0" fontId="10" fillId="8" borderId="1" xfId="1" applyNumberFormat="1" applyFont="1" applyFill="1" applyBorder="1" applyAlignment="1">
      <alignment vertical="center" wrapText="1"/>
    </xf>
    <xf numFmtId="0" fontId="9" fillId="13" borderId="1" xfId="1" applyNumberFormat="1" applyFont="1" applyFill="1" applyBorder="1" applyAlignment="1">
      <alignment horizontal="center" vertical="center" wrapText="1"/>
    </xf>
    <xf numFmtId="0" fontId="9" fillId="14" borderId="1" xfId="1" applyNumberFormat="1" applyFont="1" applyFill="1" applyBorder="1" applyAlignment="1">
      <alignment horizontal="center" vertical="center" wrapText="1"/>
    </xf>
    <xf numFmtId="0" fontId="9" fillId="12" borderId="1" xfId="1" applyNumberFormat="1" applyFont="1" applyFill="1" applyBorder="1" applyAlignment="1">
      <alignment horizontal="center" vertical="center" wrapText="1"/>
    </xf>
    <xf numFmtId="0" fontId="9" fillId="13" borderId="5" xfId="1" applyNumberFormat="1" applyFont="1" applyFill="1" applyBorder="1" applyAlignment="1">
      <alignment horizontal="center" vertical="center" wrapText="1"/>
    </xf>
    <xf numFmtId="0" fontId="9" fillId="12" borderId="6" xfId="1" applyNumberFormat="1" applyFont="1" applyFill="1" applyBorder="1" applyAlignment="1">
      <alignment horizontal="center" vertical="center" wrapText="1"/>
    </xf>
    <xf numFmtId="0" fontId="0" fillId="8" borderId="5" xfId="1" applyNumberFormat="1" applyFont="1" applyFill="1" applyBorder="1" applyAlignment="1">
      <alignment vertical="center" wrapText="1"/>
    </xf>
    <xf numFmtId="0" fontId="0" fillId="8" borderId="6" xfId="1" applyNumberFormat="1" applyFont="1" applyFill="1" applyBorder="1" applyAlignment="1">
      <alignment vertical="center" wrapText="1"/>
    </xf>
    <xf numFmtId="0" fontId="0" fillId="8" borderId="7" xfId="1" applyNumberFormat="1" applyFont="1" applyFill="1" applyBorder="1" applyAlignment="1">
      <alignment vertical="center" wrapText="1"/>
    </xf>
    <xf numFmtId="0" fontId="0" fillId="8" borderId="8" xfId="1" applyNumberFormat="1" applyFont="1" applyFill="1" applyBorder="1" applyAlignment="1">
      <alignment vertical="center" wrapText="1"/>
    </xf>
    <xf numFmtId="0" fontId="0" fillId="8" borderId="9" xfId="1" applyNumberFormat="1" applyFont="1" applyFill="1" applyBorder="1" applyAlignment="1">
      <alignment vertical="center" wrapText="1"/>
    </xf>
    <xf numFmtId="0" fontId="9" fillId="15" borderId="1" xfId="1" applyNumberFormat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wrapText="1"/>
    </xf>
    <xf numFmtId="0" fontId="8" fillId="15" borderId="6" xfId="1" applyNumberFormat="1" applyFont="1" applyFill="1" applyBorder="1" applyAlignment="1">
      <alignment horizontal="center" vertical="center" wrapText="1"/>
    </xf>
    <xf numFmtId="0" fontId="9" fillId="16" borderId="1" xfId="1" applyNumberFormat="1" applyFont="1" applyFill="1" applyBorder="1" applyAlignment="1">
      <alignment horizontal="center" vertical="center" wrapText="1"/>
    </xf>
    <xf numFmtId="0" fontId="9" fillId="6" borderId="1" xfId="1" applyNumberFormat="1" applyFont="1" applyFill="1" applyBorder="1" applyAlignment="1">
      <alignment horizontal="center" vertical="center" wrapText="1"/>
    </xf>
    <xf numFmtId="0" fontId="9" fillId="15" borderId="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10" borderId="0" xfId="1" applyNumberFormat="1" applyFont="1" applyFill="1" applyBorder="1" applyAlignment="1">
      <alignment horizontal="center" vertical="center" wrapText="1"/>
    </xf>
    <xf numFmtId="0" fontId="15" fillId="8" borderId="0" xfId="1" applyNumberFormat="1" applyFont="1" applyFill="1" applyBorder="1" applyAlignment="1">
      <alignment vertical="center" wrapText="1"/>
    </xf>
    <xf numFmtId="0" fontId="0" fillId="20" borderId="0" xfId="0" applyFill="1" applyAlignment="1">
      <alignment vertical="center"/>
    </xf>
    <xf numFmtId="0" fontId="9" fillId="13" borderId="6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0" fillId="0" borderId="7" xfId="1" applyNumberFormat="1" applyFont="1" applyFill="1" applyBorder="1" applyAlignment="1">
      <alignment vertical="center" wrapText="1"/>
    </xf>
    <xf numFmtId="0" fontId="0" fillId="0" borderId="8" xfId="1" applyNumberFormat="1" applyFont="1" applyFill="1" applyBorder="1" applyAlignment="1">
      <alignment vertical="center" wrapText="1"/>
    </xf>
    <xf numFmtId="0" fontId="0" fillId="0" borderId="9" xfId="1" applyNumberFormat="1" applyFont="1" applyFill="1" applyBorder="1" applyAlignment="1">
      <alignment vertical="center" wrapText="1"/>
    </xf>
    <xf numFmtId="0" fontId="9" fillId="12" borderId="5" xfId="1" applyNumberFormat="1" applyFont="1" applyFill="1" applyBorder="1" applyAlignment="1">
      <alignment horizontal="center" vertical="center" wrapText="1"/>
    </xf>
    <xf numFmtId="0" fontId="9" fillId="10" borderId="5" xfId="1" applyNumberFormat="1" applyFont="1" applyFill="1" applyBorder="1" applyAlignment="1">
      <alignment horizontal="center" vertical="center" wrapText="1"/>
    </xf>
    <xf numFmtId="0" fontId="9" fillId="10" borderId="1" xfId="1" applyNumberFormat="1" applyFont="1" applyFill="1" applyBorder="1" applyAlignment="1">
      <alignment horizontal="center" vertical="center" wrapText="1"/>
    </xf>
    <xf numFmtId="0" fontId="9" fillId="10" borderId="6" xfId="1" applyNumberFormat="1" applyFont="1" applyFill="1" applyBorder="1" applyAlignment="1">
      <alignment horizontal="center" vertical="center" wrapText="1"/>
    </xf>
    <xf numFmtId="0" fontId="0" fillId="9" borderId="5" xfId="1" applyNumberFormat="1" applyFont="1" applyFill="1" applyBorder="1" applyAlignment="1">
      <alignment vertical="center" wrapText="1"/>
    </xf>
    <xf numFmtId="0" fontId="0" fillId="9" borderId="7" xfId="1" applyNumberFormat="1" applyFont="1" applyFill="1" applyBorder="1" applyAlignment="1">
      <alignment vertical="center" wrapText="1"/>
    </xf>
    <xf numFmtId="0" fontId="9" fillId="9" borderId="5" xfId="1" applyNumberFormat="1" applyFont="1" applyFill="1" applyBorder="1" applyAlignment="1">
      <alignment horizontal="center" vertical="center" wrapText="1"/>
    </xf>
    <xf numFmtId="0" fontId="9" fillId="9" borderId="1" xfId="1" applyNumberFormat="1" applyFont="1" applyFill="1" applyBorder="1" applyAlignment="1">
      <alignment horizontal="center" vertical="center" wrapText="1"/>
    </xf>
    <xf numFmtId="0" fontId="9" fillId="9" borderId="6" xfId="1" applyNumberFormat="1" applyFont="1" applyFill="1" applyBorder="1" applyAlignment="1">
      <alignment horizontal="center" vertical="center" wrapText="1"/>
    </xf>
    <xf numFmtId="0" fontId="0" fillId="9" borderId="6" xfId="1" applyNumberFormat="1" applyFont="1" applyFill="1" applyBorder="1" applyAlignment="1">
      <alignment vertical="center" wrapText="1"/>
    </xf>
    <xf numFmtId="0" fontId="0" fillId="9" borderId="8" xfId="1" applyNumberFormat="1" applyFont="1" applyFill="1" applyBorder="1" applyAlignment="1">
      <alignment vertical="center" wrapText="1"/>
    </xf>
    <xf numFmtId="0" fontId="0" fillId="9" borderId="9" xfId="1" applyNumberFormat="1" applyFont="1" applyFill="1" applyBorder="1" applyAlignment="1">
      <alignment vertical="center" wrapText="1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9" borderId="5" xfId="1" applyNumberFormat="1" applyFont="1" applyFill="1" applyBorder="1" applyAlignment="1">
      <alignment wrapText="1"/>
    </xf>
    <xf numFmtId="0" fontId="0" fillId="9" borderId="6" xfId="1" applyNumberFormat="1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9" borderId="7" xfId="1" applyNumberFormat="1" applyFont="1" applyFill="1" applyBorder="1" applyAlignment="1">
      <alignment wrapText="1"/>
    </xf>
    <xf numFmtId="0" fontId="0" fillId="9" borderId="8" xfId="1" applyNumberFormat="1" applyFont="1" applyFill="1" applyBorder="1" applyAlignment="1">
      <alignment wrapText="1"/>
    </xf>
    <xf numFmtId="0" fontId="0" fillId="9" borderId="9" xfId="1" applyNumberFormat="1" applyFont="1" applyFill="1" applyBorder="1" applyAlignment="1">
      <alignment wrapText="1"/>
    </xf>
    <xf numFmtId="0" fontId="9" fillId="19" borderId="5" xfId="1" applyNumberFormat="1" applyFont="1" applyFill="1" applyBorder="1" applyAlignment="1">
      <alignment horizontal="center" vertical="center" wrapText="1"/>
    </xf>
    <xf numFmtId="0" fontId="9" fillId="11" borderId="1" xfId="1" applyNumberFormat="1" applyFont="1" applyFill="1" applyBorder="1" applyAlignment="1">
      <alignment horizontal="center" vertical="center" wrapText="1"/>
    </xf>
    <xf numFmtId="0" fontId="9" fillId="11" borderId="6" xfId="1" applyNumberFormat="1" applyFont="1" applyFill="1" applyBorder="1" applyAlignment="1">
      <alignment horizontal="center" vertical="center" wrapText="1"/>
    </xf>
    <xf numFmtId="164" fontId="0" fillId="8" borderId="1" xfId="1" applyNumberFormat="1" applyFont="1" applyFill="1" applyBorder="1" applyAlignment="1">
      <alignment vertical="center" wrapText="1"/>
    </xf>
    <xf numFmtId="164" fontId="0" fillId="8" borderId="8" xfId="1" applyNumberFormat="1" applyFont="1" applyFill="1" applyBorder="1" applyAlignment="1">
      <alignment vertical="center" wrapText="1"/>
    </xf>
    <xf numFmtId="0" fontId="9" fillId="15" borderId="5" xfId="1" applyNumberFormat="1" applyFont="1" applyFill="1" applyBorder="1" applyAlignment="1">
      <alignment horizontal="center" vertical="center" wrapText="1"/>
    </xf>
    <xf numFmtId="164" fontId="0" fillId="8" borderId="6" xfId="1" applyNumberFormat="1" applyFont="1" applyFill="1" applyBorder="1" applyAlignment="1">
      <alignment vertical="center" wrapText="1"/>
    </xf>
    <xf numFmtId="164" fontId="0" fillId="8" borderId="9" xfId="1" applyNumberFormat="1" applyFont="1" applyFill="1" applyBorder="1" applyAlignment="1">
      <alignment vertical="center" wrapText="1"/>
    </xf>
    <xf numFmtId="0" fontId="12" fillId="19" borderId="13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3" borderId="1" xfId="1" applyNumberFormat="1" applyFont="1" applyFill="1" applyBorder="1" applyAlignment="1">
      <alignment vertical="center"/>
    </xf>
    <xf numFmtId="0" fontId="18" fillId="3" borderId="1" xfId="1" applyNumberFormat="1" applyFont="1" applyFill="1" applyBorder="1" applyAlignment="1">
      <alignment vertical="center" wrapText="1"/>
    </xf>
    <xf numFmtId="0" fontId="20" fillId="0" borderId="1" xfId="1" applyNumberFormat="1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12" fillId="17" borderId="1" xfId="1" applyNumberFormat="1" applyFont="1" applyFill="1" applyBorder="1" applyAlignment="1">
      <alignment horizontal="center" vertical="center" wrapText="1"/>
    </xf>
    <xf numFmtId="0" fontId="12" fillId="9" borderId="0" xfId="1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" fillId="2" borderId="0" xfId="1" applyNumberFormat="1" applyFont="1" applyFill="1" applyBorder="1" applyAlignment="1">
      <alignment vertical="center"/>
    </xf>
    <xf numFmtId="0" fontId="1" fillId="2" borderId="1" xfId="1" applyNumberFormat="1" applyFont="1" applyFill="1" applyBorder="1" applyAlignment="1">
      <alignment vertical="center"/>
    </xf>
    <xf numFmtId="0" fontId="5" fillId="4" borderId="0" xfId="1" applyNumberFormat="1" applyFont="1" applyFill="1" applyBorder="1" applyAlignment="1">
      <alignment vertical="center" wrapText="1"/>
    </xf>
    <xf numFmtId="0" fontId="5" fillId="4" borderId="1" xfId="1" applyNumberFormat="1" applyFont="1" applyFill="1" applyBorder="1" applyAlignment="1">
      <alignment vertical="center" wrapText="1"/>
    </xf>
    <xf numFmtId="0" fontId="2" fillId="3" borderId="0" xfId="1" applyNumberFormat="1" applyFont="1" applyFill="1" applyBorder="1" applyAlignment="1">
      <alignment vertical="center" wrapText="1"/>
    </xf>
    <xf numFmtId="0" fontId="3" fillId="2" borderId="0" xfId="1" applyNumberFormat="1" applyFont="1" applyFill="1" applyBorder="1" applyAlignment="1">
      <alignment vertical="center"/>
    </xf>
    <xf numFmtId="0" fontId="8" fillId="9" borderId="0" xfId="1" applyNumberFormat="1" applyFont="1" applyFill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2" fillId="3" borderId="0" xfId="1" applyNumberFormat="1" applyFont="1" applyFill="1" applyBorder="1" applyAlignment="1">
      <alignment vertical="center"/>
    </xf>
    <xf numFmtId="0" fontId="2" fillId="3" borderId="1" xfId="1" applyNumberFormat="1" applyFont="1" applyFill="1" applyBorder="1" applyAlignment="1">
      <alignment vertical="center"/>
    </xf>
    <xf numFmtId="0" fontId="12" fillId="10" borderId="1" xfId="1" applyNumberFormat="1" applyFont="1" applyFill="1" applyBorder="1" applyAlignment="1">
      <alignment horizontal="center" vertical="center" wrapText="1"/>
    </xf>
    <xf numFmtId="0" fontId="12" fillId="9" borderId="0" xfId="1" applyNumberFormat="1" applyFont="1" applyFill="1" applyBorder="1" applyAlignment="1">
      <alignment horizontal="center" vertical="center" wrapText="1"/>
    </xf>
    <xf numFmtId="0" fontId="12" fillId="13" borderId="10" xfId="1" applyNumberFormat="1" applyFont="1" applyFill="1" applyBorder="1" applyAlignment="1">
      <alignment horizontal="center" vertical="center" wrapText="1"/>
    </xf>
    <xf numFmtId="0" fontId="12" fillId="13" borderId="11" xfId="1" applyNumberFormat="1" applyFont="1" applyFill="1" applyBorder="1" applyAlignment="1">
      <alignment horizontal="center" vertical="center" wrapText="1"/>
    </xf>
    <xf numFmtId="0" fontId="12" fillId="13" borderId="12" xfId="1" applyNumberFormat="1" applyFont="1" applyFill="1" applyBorder="1" applyAlignment="1">
      <alignment horizontal="center" vertical="center" wrapText="1"/>
    </xf>
    <xf numFmtId="0" fontId="12" fillId="18" borderId="10" xfId="1" applyNumberFormat="1" applyFont="1" applyFill="1" applyBorder="1" applyAlignment="1">
      <alignment horizontal="center" vertical="center" wrapText="1"/>
    </xf>
    <xf numFmtId="0" fontId="12" fillId="18" borderId="11" xfId="1" applyNumberFormat="1" applyFont="1" applyFill="1" applyBorder="1" applyAlignment="1">
      <alignment horizontal="center" vertical="center" wrapText="1"/>
    </xf>
    <xf numFmtId="0" fontId="12" fillId="18" borderId="12" xfId="1" applyNumberFormat="1" applyFont="1" applyFill="1" applyBorder="1" applyAlignment="1">
      <alignment horizontal="center" vertical="center" wrapText="1"/>
    </xf>
    <xf numFmtId="0" fontId="1" fillId="20" borderId="0" xfId="1" applyNumberFormat="1" applyFont="1" applyFill="1" applyBorder="1" applyAlignment="1">
      <alignment vertical="center"/>
    </xf>
    <xf numFmtId="0" fontId="1" fillId="20" borderId="1" xfId="1" applyNumberFormat="1" applyFont="1" applyFill="1" applyBorder="1" applyAlignment="1">
      <alignment vertical="center"/>
    </xf>
    <xf numFmtId="0" fontId="12" fillId="10" borderId="10" xfId="1" applyNumberFormat="1" applyFont="1" applyFill="1" applyBorder="1" applyAlignment="1">
      <alignment horizontal="center" vertical="center" wrapText="1"/>
    </xf>
    <xf numFmtId="0" fontId="12" fillId="10" borderId="11" xfId="1" applyNumberFormat="1" applyFont="1" applyFill="1" applyBorder="1" applyAlignment="1">
      <alignment horizontal="center" vertical="center" wrapText="1"/>
    </xf>
    <xf numFmtId="0" fontId="12" fillId="10" borderId="12" xfId="1" applyNumberFormat="1" applyFont="1" applyFill="1" applyBorder="1" applyAlignment="1">
      <alignment horizontal="center" vertical="center" wrapText="1"/>
    </xf>
    <xf numFmtId="0" fontId="12" fillId="12" borderId="10" xfId="1" applyNumberFormat="1" applyFont="1" applyFill="1" applyBorder="1" applyAlignment="1">
      <alignment horizontal="center" vertical="center" wrapText="1"/>
    </xf>
    <xf numFmtId="0" fontId="12" fillId="12" borderId="11" xfId="1" applyNumberFormat="1" applyFont="1" applyFill="1" applyBorder="1" applyAlignment="1">
      <alignment horizontal="center" vertical="center" wrapText="1"/>
    </xf>
    <xf numFmtId="0" fontId="12" fillId="12" borderId="12" xfId="1" applyNumberFormat="1" applyFont="1" applyFill="1" applyBorder="1" applyAlignment="1">
      <alignment horizontal="center" vertical="center" wrapText="1"/>
    </xf>
    <xf numFmtId="0" fontId="12" fillId="19" borderId="11" xfId="1" applyNumberFormat="1" applyFont="1" applyFill="1" applyBorder="1" applyAlignment="1">
      <alignment horizontal="center" vertical="center" wrapText="1"/>
    </xf>
    <xf numFmtId="0" fontId="12" fillId="19" borderId="12" xfId="1" applyNumberFormat="1" applyFont="1" applyFill="1" applyBorder="1" applyAlignment="1">
      <alignment horizontal="center" vertical="center" wrapText="1"/>
    </xf>
    <xf numFmtId="0" fontId="13" fillId="3" borderId="0" xfId="1" applyNumberFormat="1" applyFont="1" applyFill="1" applyBorder="1" applyAlignment="1">
      <alignment vertical="center" wrapText="1"/>
    </xf>
    <xf numFmtId="0" fontId="13" fillId="3" borderId="1" xfId="1" applyNumberFormat="1" applyFont="1" applyFill="1" applyBorder="1" applyAlignment="1">
      <alignment vertical="center" wrapText="1"/>
    </xf>
    <xf numFmtId="0" fontId="8" fillId="6" borderId="0" xfId="1" applyNumberFormat="1" applyFont="1" applyFill="1" applyBorder="1" applyAlignment="1">
      <alignment horizontal="center" vertical="center" wrapText="1"/>
    </xf>
    <xf numFmtId="0" fontId="8" fillId="16" borderId="1" xfId="1" applyNumberFormat="1" applyFont="1" applyFill="1" applyBorder="1" applyAlignment="1">
      <alignment horizontal="center" vertical="center" wrapText="1"/>
    </xf>
    <xf numFmtId="0" fontId="8" fillId="6" borderId="1" xfId="1" applyNumberFormat="1" applyFont="1" applyFill="1" applyBorder="1" applyAlignment="1">
      <alignment horizontal="center" vertical="center" wrapText="1"/>
    </xf>
    <xf numFmtId="0" fontId="8" fillId="14" borderId="1" xfId="1" applyNumberFormat="1" applyFont="1" applyFill="1" applyBorder="1" applyAlignment="1">
      <alignment horizontal="center" vertical="center" wrapText="1"/>
    </xf>
    <xf numFmtId="0" fontId="14" fillId="9" borderId="2" xfId="1" applyNumberFormat="1" applyFont="1" applyFill="1" applyBorder="1" applyAlignment="1">
      <alignment horizontal="center" vertical="center" wrapText="1"/>
    </xf>
    <xf numFmtId="0" fontId="14" fillId="9" borderId="3" xfId="1" applyNumberFormat="1" applyFont="1" applyFill="1" applyBorder="1" applyAlignment="1">
      <alignment horizontal="center" vertical="center" wrapText="1"/>
    </xf>
    <xf numFmtId="0" fontId="14" fillId="9" borderId="4" xfId="1" applyNumberFormat="1" applyFont="1" applyFill="1" applyBorder="1" applyAlignment="1">
      <alignment horizontal="center" vertical="center" wrapText="1"/>
    </xf>
    <xf numFmtId="0" fontId="12" fillId="13" borderId="2" xfId="1" applyNumberFormat="1" applyFont="1" applyFill="1" applyBorder="1" applyAlignment="1">
      <alignment horizontal="center" vertical="center" wrapText="1"/>
    </xf>
    <xf numFmtId="0" fontId="12" fillId="13" borderId="3" xfId="1" applyNumberFormat="1" applyFont="1" applyFill="1" applyBorder="1" applyAlignment="1">
      <alignment horizontal="center" vertical="center" wrapText="1"/>
    </xf>
    <xf numFmtId="0" fontId="7" fillId="12" borderId="3" xfId="1" applyNumberFormat="1" applyFont="1" applyFill="1" applyBorder="1" applyAlignment="1">
      <alignment horizontal="center" vertical="center" wrapText="1"/>
    </xf>
    <xf numFmtId="0" fontId="7" fillId="12" borderId="4" xfId="1" applyNumberFormat="1" applyFont="1" applyFill="1" applyBorder="1" applyAlignment="1">
      <alignment horizontal="center" vertical="center" wrapText="1"/>
    </xf>
    <xf numFmtId="0" fontId="8" fillId="15" borderId="1" xfId="1" applyNumberFormat="1" applyFont="1" applyFill="1" applyBorder="1" applyAlignment="1">
      <alignment horizontal="center" vertical="center" wrapText="1"/>
    </xf>
    <xf numFmtId="0" fontId="12" fillId="15" borderId="10" xfId="1" applyNumberFormat="1" applyFont="1" applyFill="1" applyBorder="1" applyAlignment="1">
      <alignment horizontal="center" vertical="center" wrapText="1"/>
    </xf>
    <xf numFmtId="0" fontId="12" fillId="15" borderId="11" xfId="1" applyNumberFormat="1" applyFont="1" applyFill="1" applyBorder="1" applyAlignment="1">
      <alignment horizontal="center" vertical="center" wrapText="1"/>
    </xf>
    <xf numFmtId="0" fontId="12" fillId="15" borderId="12" xfId="1" applyNumberFormat="1" applyFont="1" applyFill="1" applyBorder="1" applyAlignment="1">
      <alignment horizontal="center" vertical="center" wrapText="1"/>
    </xf>
    <xf numFmtId="0" fontId="12" fillId="11" borderId="11" xfId="1" applyNumberFormat="1" applyFont="1" applyFill="1" applyBorder="1" applyAlignment="1">
      <alignment horizontal="center" vertical="center" wrapText="1"/>
    </xf>
    <xf numFmtId="0" fontId="12" fillId="11" borderId="12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/>
        <vertical/>
      </border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vertical="center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E7E6E6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colors>
    <mruColors>
      <color rgb="FF1F4E78"/>
      <color rgb="FFCAEDFB"/>
      <color rgb="FFE2F0D9"/>
      <color rgb="FFD9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veScopeTable" displayName="WaveScopeTable" ref="A17:E27" headerRowDxfId="97" dataDxfId="96" totalsRowDxfId="95">
  <tableColumns count="5">
    <tableColumn id="1" xr3:uid="{00000000-0010-0000-0000-000001000000}" name="Информационная система" dataDxfId="94"/>
    <tableColumn id="2" xr3:uid="{00000000-0010-0000-0000-000002000000}" name="БЕ Тех / технический владелец" dataDxfId="93"/>
    <tableColumn id="3" xr3:uid="{00000000-0010-0000-0000-000003000000}" name="Источник ролевой модели" dataDxfId="92"/>
    <tableColumn id="4" xr3:uid="{00000000-0010-0000-0000-000004000000}" name="Статус включения в периметр" dataDxfId="91"/>
    <tableColumn id="5" xr3:uid="{00000000-0010-0000-0000-000005000000}" name="Комментарий" dataDxfId="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46602E-23AD-4325-9607-806E969DD3D4}" name="RoleRegistryTable9" displayName="RoleRegistryTable9" ref="A4:F7" headerRowDxfId="89" dataDxfId="88" totalsRowDxfId="87">
  <tableColumns count="6">
    <tableColumn id="2" xr3:uid="{6304E2C6-B717-419D-8CB1-19A3A757022E}" name="ID продукта" dataDxfId="86"/>
    <tableColumn id="3" xr3:uid="{3C3C2AE7-F647-42E2-A0D8-9CE9CD1B760C}" name="Платформа" dataDxfId="85"/>
    <tableColumn id="4" xr3:uid="{4BE46EBC-6833-4219-8B20-B769B3A2D9ED}" name="Продукт" dataDxfId="84"/>
    <tableColumn id="5" xr3:uid="{71F7865C-14F4-40D8-95CB-F73FACD55D4D}" name="Информационная система" dataDxfId="83"/>
    <tableColumn id="20" xr3:uid="{BD5654A3-B9FE-43D3-A191-5D0DE653DCFD}" name="Пользователи" dataDxfId="82" dataCellStyle="Normal"/>
    <tableColumn id="21" xr3:uid="{0642A873-5302-4A73-981A-29A8B038CECB}" name="Эксперты от БЕ Тех" dataDxfId="81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ssignmentsTable" displayName="AssignmentsTable" ref="A4:P86" headerRowDxfId="77" dataDxfId="76" totalsRowDxfId="75">
  <tableColumns count="16">
    <tableColumn id="2" xr3:uid="{00000000-0010-0000-0300-000002000000}" name="ID Продукта" dataDxfId="74"/>
    <tableColumn id="19" xr3:uid="{129EA0AB-9009-417E-ABF5-DCF8392D8047}" name="Платформа" dataDxfId="73" dataCellStyle="Normal"/>
    <tableColumn id="8" xr3:uid="{EE205421-2E8D-4A6F-8321-42BA3293BEC9}" name="Продукт" dataDxfId="72" dataCellStyle="Normal"/>
    <tableColumn id="1" xr3:uid="{D1F40868-F984-4A10-9561-D40BF06112EA}" name="ИС" dataDxfId="71" dataCellStyle="Normal"/>
    <tableColumn id="21" xr3:uid="{CFC11413-2D19-49AF-BC95-80F4D2C32D34}" name="Код роли" dataDxfId="70" dataCellStyle="Normal"/>
    <tableColumn id="20" xr3:uid="{649D1D5C-2580-432F-8E67-DECCEA74EAEB}" name="Наименование роли" dataDxfId="69" dataCellStyle="Normal"/>
    <tableColumn id="9" xr3:uid="{275C929D-0ED4-4260-AE2F-6291E06C9ED8}" name="Назначение роли" dataDxfId="68" dataCellStyle="Normal"/>
    <tableColumn id="3" xr3:uid="{00000000-0010-0000-0300-000003000000}" name="Дата среза" dataDxfId="67"/>
    <tableColumn id="4" xr3:uid="{00000000-0010-0000-0300-000004000000}" name="User ID / логин" dataDxfId="66"/>
    <tableColumn id="5" xr3:uid="{00000000-0010-0000-0300-000005000000}" name="ФИО" dataDxfId="65"/>
    <tableColumn id="6" xr3:uid="{00000000-0010-0000-0300-000006000000}" name="Подразделение" dataDxfId="64"/>
    <tableColumn id="7" xr3:uid="{00000000-0010-0000-0300-000007000000}" name="Должность" dataDxfId="63"/>
    <tableColumn id="14" xr3:uid="{00000000-0010-0000-0300-00000E000000}" name="Актив / БЕ" dataDxfId="62"/>
    <tableColumn id="15" xr3:uid="{00000000-0010-0000-0300-00000F000000}" name="Фактические значения scope" dataDxfId="61"/>
    <tableColumn id="16" xr3:uid="{00000000-0010-0000-0300-000010000000}" name="Статус назначения" dataDxfId="60"/>
    <tableColumn id="18" xr3:uid="{00000000-0010-0000-0300-000012000000}" name="Проверка заполнения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ghtsTable" displayName="RightsTable" ref="A4:Z84" headerRowDxfId="58" dataDxfId="57" totalsRowDxfId="56">
  <tableColumns count="26">
    <tableColumn id="3" xr3:uid="{00000000-0010-0000-0200-000003000000}" name="Платформа" dataDxfId="55"/>
    <tableColumn id="4" xr3:uid="{00000000-0010-0000-0200-000004000000}" name="Продукт" dataDxfId="54"/>
    <tableColumn id="5" xr3:uid="{00000000-0010-0000-0200-000005000000}" name="ИС" dataDxfId="53"/>
    <tableColumn id="39" xr3:uid="{28957830-CFC9-4355-A182-25A63C39154B}" name="Код роли " dataDxfId="52" dataCellStyle="Normal"/>
    <tableColumn id="38" xr3:uid="{1B2CBECE-4F5C-466E-962E-15D2F15EDA5A}" name="Наименование роли" dataDxfId="51" dataCellStyle="Normal"/>
    <tableColumn id="40" xr3:uid="{B60EA751-2860-4B19-9E6B-E32940A82114}" name="Назначение роли " dataDxfId="50" dataCellStyle="Normal"/>
    <tableColumn id="50" xr3:uid="{016630F0-8CC2-49A3-AB18-5288CF88A436}" name="ФИО " dataDxfId="49" dataCellStyle="Normal"/>
    <tableColumn id="49" xr3:uid="{EBAAE49F-4187-4245-BCB6-2F047E237937}" name="Подразделение" dataDxfId="48" dataCellStyle="Normal"/>
    <tableColumn id="37" xr3:uid="{39D351A7-8DA9-495E-8796-CF3854A26DEE}" name="Бизнес-роль / должность" dataDxfId="47" dataCellStyle="Normal"/>
    <tableColumn id="15" xr3:uid="{00000000-0010-0000-0200-00000F000000}" name="Функциональное действие" dataDxfId="46"/>
    <tableColumn id="16" xr3:uid="{00000000-0010-0000-0200-000010000000}" name="Бизнес-результат" dataDxfId="45"/>
    <tableColumn id="17" xr3:uid="{00000000-0010-0000-0200-000011000000}" name="Бизнес-объект" dataDxfId="44"/>
    <tableColumn id="18" xr3:uid="{00000000-0010-0000-0200-000012000000}" name="Возможные условия использования" dataDxfId="43"/>
    <tableColumn id="54" xr3:uid="{080702B5-54EA-4C7F-922D-BFA4BA2A7C24}" name="ИС 1 (шаг 1)" dataDxfId="42" totalsRowDxfId="41" dataCellStyle="Normal"/>
    <tableColumn id="55" xr3:uid="{F7638F0D-4D43-45C8-80D8-BDE0F4092A22}" name="Код роли 1 (шаг 1)" dataDxfId="40" totalsRowDxfId="39" dataCellStyle="Normal"/>
    <tableColumn id="56" xr3:uid="{20FB7863-4EBD-4EC3-B420-54F61BFB1F65}" name="Наименование роли 1 (шаг 1)" dataDxfId="38" totalsRowDxfId="37" dataCellStyle="Normal"/>
    <tableColumn id="57" xr3:uid="{3452B4A5-74E0-4EA9-80D6-5CC0BD7DDC7A}" name="Технический код права / разрешения внутри роли52" dataDxfId="36" totalsRowDxfId="35" dataCellStyle="Normal"/>
    <tableColumn id="58" xr3:uid="{119192F7-B088-4D89-AB82-7A711D87188D}" name="Наименование права / разрешения внутри роли63" dataDxfId="34" totalsRowDxfId="33" dataCellStyle="Normal"/>
    <tableColumn id="59" xr3:uid="{94B4DC2B-9DBA-4621-85B0-945132AAA1F1}" name="Вид операция доступа к данным74" dataDxfId="32" totalsRowDxfId="31" dataCellStyle="Normal"/>
    <tableColumn id="60" xr3:uid="{687BABED-74C7-43D5-AF1B-18BED612A4FE}" name="Технический объект / ресурс в отношении которого реализуются права роли85" dataDxfId="30" totalsRowDxfId="29" dataCellStyle="Normal"/>
    <tableColumn id="61" xr3:uid="{E2399DF5-9D7B-4D5D-AE1C-CC56467147ED}" name="Технический scope, определяющий границы действия прав96" dataDxfId="28" totalsRowDxfId="27" dataCellStyle="Normal"/>
    <tableColumn id="62" xr3:uid="{017D277E-DC36-41A6-87A6-D61310B144C0}" name="Нормализованное SoD-действие" dataDxfId="26" totalsRowDxfId="25" dataCellStyle="Normal"/>
    <tableColumn id="63" xr3:uid="{C4CF0E31-E225-46FF-A6B7-AF931BF83EF4}" name="Класс SoD" dataDxfId="24" totalsRowDxfId="23" dataCellStyle="Normal"/>
    <tableColumn id="64" xr3:uid="{5C9015B2-B3E7-43D0-9557-A59AE717833A}" name="Дополнительный признак" dataDxfId="22" totalsRowDxfId="21" dataCellStyle="Normal"/>
    <tableColumn id="65" xr3:uid="{2DBEC8AD-DB3B-42E1-879B-05C8252FDE8F}" name="Статус мэппинга" dataDxfId="20" totalsRowDxfId="19" dataCellStyle="Normal"/>
    <tableColumn id="66" xr3:uid="{EE46DDA0-1F47-48E7-936A-CAFF6471E839}" name="Комментарий / вопрос ЦЭ" dataDxfId="18" totalsRowDxfId="17" dataCellStyle="Norm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DAnalysisTable" displayName="SoDAnalysisTable" ref="A8:AP30">
  <tableColumns count="42">
    <tableColumn id="1" xr3:uid="{00000000-0010-0000-0400-000001000000}" name="ID анализа"/>
    <tableColumn id="2" xr3:uid="{00000000-0010-0000-0400-000002000000}" name="Рабочий статус"/>
    <tableColumn id="9" xr3:uid="{00000000-0010-0000-0400-000009000000}" name="Нормализованное SoD-действие (шаг 2)" dataDxfId="13"/>
    <tableColumn id="10" xr3:uid="{00000000-0010-0000-0400-00000A000000}" name="Бизнес-объект 1"/>
    <tableColumn id="11" xr3:uid="{00000000-0010-0000-0400-00000B000000}" name="Класс SoD 1"/>
    <tableColumn id="47" xr3:uid="{667F72BB-0B45-4FF8-A7EB-DBC0D30F8F22}" name="ИС 1 (шаг 1)" dataDxfId="12" dataCellStyle="Normal"/>
    <tableColumn id="46" xr3:uid="{AE44086B-2678-4732-BFF3-779C72B41208}" name="Код роли 1 (шаг 1)" dataDxfId="11" dataCellStyle="Normal"/>
    <tableColumn id="45" xr3:uid="{4E1EE788-448E-42A0-B4A3-054965CE022E}" name="Наименование роли 1 (шаг 1)" dataDxfId="10" dataCellStyle="Normal"/>
    <tableColumn id="44" xr3:uid="{6B76A12F-0DA8-48EF-89EF-8E9529D19A98}" name="Технический код права / разрешения внутри роли5" dataDxfId="9" dataCellStyle="Normal"/>
    <tableColumn id="50" xr3:uid="{4734747D-BF57-4341-877D-4624743B5879}" name="Наименование права / разрешения внутри роли6" dataDxfId="8" dataCellStyle="Normal"/>
    <tableColumn id="49" xr3:uid="{790DAE39-92D1-4A34-A00A-7CB826E40D07}" name="Вид операция доступа к данным7" dataDxfId="7" dataCellStyle="Normal"/>
    <tableColumn id="48" xr3:uid="{0C719E62-3679-4E3F-9D0D-262270EC8062}" name="Технический объект / ресурс в отношении которого реализуются права роли8" dataDxfId="6" dataCellStyle="Normal"/>
    <tableColumn id="43" xr3:uid="{CFF7BD61-5432-4A3E-81C1-390028C9E390}" name="Технический scope, определяющий границы действия прав9" dataDxfId="5" dataCellStyle="Normal"/>
    <tableColumn id="53" xr3:uid="{6E53A550-0919-4387-A35D-90C525CE9B4D}" name="Нормализованное SoD-действие 2 (шаг 2)" dataDxfId="4" dataCellStyle="Normal"/>
    <tableColumn id="52" xr3:uid="{53BBBE2E-DFCF-4CBD-AA64-DF20C5AB6700}" name="Бизнес-объект 2" dataDxfId="3" dataCellStyle="Normal"/>
    <tableColumn id="51" xr3:uid="{70462982-19FF-4D5A-B0F0-1861B436628A}" name="Класс SoD 2" dataDxfId="2" dataCellStyle="Normal"/>
    <tableColumn id="13" xr3:uid="{00000000-0010-0000-0400-00000D000000}" name="ИС 2 (шаг 1)"/>
    <tableColumn id="14" xr3:uid="{00000000-0010-0000-0400-00000E000000}" name="Код роли 2 (шаг 1)"/>
    <tableColumn id="15" xr3:uid="{00000000-0010-0000-0400-00000F000000}" name="Наименование роли 2 (шаг 1)"/>
    <tableColumn id="16" xr3:uid="{00000000-0010-0000-0400-000010000000}" name="Технический код права / разрешения внутри роли52"/>
    <tableColumn id="17" xr3:uid="{00000000-0010-0000-0400-000011000000}" name="Наименование права / разрешения внутри роли63"/>
    <tableColumn id="18" xr3:uid="{00000000-0010-0000-0400-000012000000}" name="Вид операция доступа к данным72"/>
    <tableColumn id="19" xr3:uid="{00000000-0010-0000-0400-000013000000}" name="Технический объект / ресурс в отношении которого реализуются права роли83"/>
    <tableColumn id="20" xr3:uid="{00000000-0010-0000-0400-000014000000}" name="Технический scope, определяющий границы действия прав94" dataDxfId="1"/>
    <tableColumn id="21" xr3:uid="{00000000-0010-0000-0400-000015000000}" name="Уровень конфликта"/>
    <tableColumn id="22" xr3:uid="{00000000-0010-0000-0400-000016000000}" name="Системный контур"/>
    <tableColumn id="23" xr3:uid="{00000000-0010-0000-0400-000017000000}" name="Связь объекта / scope"/>
    <tableColumn id="24" xr3:uid="{00000000-0010-0000-0400-000018000000}" name="Достижимая последовательность"/>
    <tableColumn id="25" xr3:uid="{00000000-0010-0000-0400-000019000000}" name="Конкретное злоупотребление"/>
    <tableColumn id="26" xr3:uid="{00000000-0010-0000-0400-00001A000000}" name="Способ сокрытия"/>
    <tableColumn id="27" xr3:uid="{00000000-0010-0000-0400-00001B000000}" name="Последствие"/>
    <tableColumn id="29" xr3:uid="{00000000-0010-0000-0400-00001D000000}" name="К1 Единый субъект"/>
    <tableColumn id="30" xr3:uid="{00000000-0010-0000-0400-00001E000000}" name="К2 Связанный объект / scope"/>
    <tableColumn id="31" xr3:uid="{00000000-0010-0000-0400-00001F000000}" name="К3 Реализуемая последовательность"/>
    <tableColumn id="32" xr3:uid="{00000000-0010-0000-0400-000020000000}" name="К4 Возможность злоупотребления"/>
    <tableColumn id="33" xr3:uid="{00000000-0010-0000-0400-000021000000}" name="К5 Возможность сокрытия"/>
    <tableColumn id="36" xr3:uid="{00000000-0010-0000-0400-000024000000}" name="Итог анализа"/>
    <tableColumn id="37" xr3:uid="{00000000-0010-0000-0400-000025000000}" name="Причина неподтверждения"/>
    <tableColumn id="40" xr3:uid="{00000000-0010-0000-0400-000028000000}" name="Активы / БЕ, для которых риск подтверждён"/>
    <tableColumn id="41" xr3:uid="{00000000-0010-0000-0400-000029000000}" name="Область применения риска"/>
    <tableColumn id="54" xr3:uid="{62726280-B8E0-4A5F-B3BB-BCFAE880C352}" name="Решение по митигации" dataDxfId="0" dataCellStyle="Normal"/>
    <tableColumn id="42" xr3:uid="{00000000-0010-0000-0400-00002A000000}" name="Проверка заполнени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ctualConflictsTable" displayName="ActualConflictsTable" ref="A4:L64">
  <tableColumns count="12">
    <tableColumn id="1" xr3:uid="{00000000-0010-0000-0600-000001000000}" name="ID конфликта"/>
    <tableColumn id="2" xr3:uid="{00000000-0010-0000-0600-000002000000}" name="Дата среза"/>
    <tableColumn id="4" xr3:uid="{00000000-0010-0000-0600-000004000000}" name="User ID / логин"/>
    <tableColumn id="5" xr3:uid="{00000000-0010-0000-0600-000005000000}" name="ФИО"/>
    <tableColumn id="6" xr3:uid="{00000000-0010-0000-0600-000006000000}" name="Подразделение"/>
    <tableColumn id="7" xr3:uid="{00000000-0010-0000-0600-000007000000}" name="Должность"/>
    <tableColumn id="8" xr3:uid="{00000000-0010-0000-0600-000008000000}" name="Актив / БЕ"/>
    <tableColumn id="9" xr3:uid="{00000000-0010-0000-0600-000009000000}" name="Фактический scope"/>
    <tableColumn id="19" xr3:uid="{00000000-0010-0000-0600-000013000000}" name="Решение"/>
    <tableColumn id="20" xr3:uid="{00000000-0010-0000-0600-000014000000}" name="Обоснование по пользователю / исключению"/>
    <tableColumn id="22" xr3:uid="{00000000-0010-0000-0600-000016000000}" name="Исполнитель"/>
    <tableColumn id="23" xr3:uid="{00000000-0010-0000-0600-000017000000}" name="Срок устран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H13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8" sqref="A8"/>
      <selection pane="bottomRight" activeCell="D6" sqref="D6"/>
    </sheetView>
  </sheetViews>
  <sheetFormatPr defaultColWidth="8.69921875" defaultRowHeight="13.8"/>
  <cols>
    <col min="1" max="1" width="8" style="12" customWidth="1"/>
    <col min="2" max="2" width="30.19921875" style="12" customWidth="1"/>
    <col min="3" max="3" width="24" style="12" customWidth="1"/>
    <col min="4" max="4" width="65.59765625" style="12" customWidth="1"/>
    <col min="5" max="5" width="33" style="12" customWidth="1"/>
    <col min="6" max="7" width="34" style="12" customWidth="1"/>
    <col min="8" max="8" width="35" style="12" customWidth="1"/>
    <col min="9" max="16384" width="8.69921875" style="12"/>
  </cols>
  <sheetData>
    <row r="1" spans="1:8" ht="22.35" customHeight="1">
      <c r="A1" s="108" t="s">
        <v>0</v>
      </c>
      <c r="B1" s="109"/>
      <c r="C1" s="108"/>
      <c r="D1" s="108"/>
      <c r="E1" s="108"/>
      <c r="F1" s="108"/>
      <c r="G1" s="108"/>
      <c r="H1" s="108"/>
    </row>
    <row r="2" spans="1:8" ht="35.25" customHeight="1">
      <c r="A2" s="110" t="s">
        <v>323</v>
      </c>
      <c r="B2" s="111"/>
      <c r="C2" s="110"/>
      <c r="D2" s="110"/>
      <c r="E2" s="110"/>
      <c r="F2" s="110"/>
      <c r="G2" s="110"/>
      <c r="H2" s="110"/>
    </row>
    <row r="4" spans="1:8">
      <c r="A4" s="14" t="s">
        <v>1</v>
      </c>
      <c r="B4" s="15" t="s">
        <v>324</v>
      </c>
      <c r="C4" s="14" t="s">
        <v>2</v>
      </c>
      <c r="D4" s="14" t="s">
        <v>3</v>
      </c>
      <c r="E4" s="14" t="s">
        <v>421</v>
      </c>
      <c r="F4" s="14" t="s">
        <v>4</v>
      </c>
      <c r="G4" s="16"/>
      <c r="H4" s="14"/>
    </row>
    <row r="5" spans="1:8" ht="41.4">
      <c r="A5" s="12" t="s">
        <v>381</v>
      </c>
      <c r="B5" s="58" t="s">
        <v>387</v>
      </c>
      <c r="C5" s="18" t="s">
        <v>344</v>
      </c>
      <c r="D5" s="58" t="s">
        <v>388</v>
      </c>
      <c r="E5" s="58" t="s">
        <v>392</v>
      </c>
      <c r="F5" s="58" t="s">
        <v>426</v>
      </c>
      <c r="G5" s="58"/>
      <c r="H5" s="58"/>
    </row>
    <row r="6" spans="1:8" ht="41.4">
      <c r="A6" s="12" t="s">
        <v>382</v>
      </c>
      <c r="B6" s="58" t="s">
        <v>390</v>
      </c>
      <c r="C6" s="18" t="s">
        <v>345</v>
      </c>
      <c r="D6" s="18" t="s">
        <v>389</v>
      </c>
      <c r="E6" s="58" t="s">
        <v>393</v>
      </c>
      <c r="F6" s="58" t="s">
        <v>427</v>
      </c>
      <c r="G6" s="58"/>
      <c r="H6" s="58"/>
    </row>
    <row r="7" spans="1:8" ht="69">
      <c r="A7" s="12" t="s">
        <v>383</v>
      </c>
      <c r="B7" s="58" t="s">
        <v>401</v>
      </c>
      <c r="C7" s="18" t="s">
        <v>396</v>
      </c>
      <c r="D7" s="58" t="s">
        <v>406</v>
      </c>
      <c r="E7" s="58" t="s">
        <v>402</v>
      </c>
      <c r="F7" s="58" t="s">
        <v>425</v>
      </c>
      <c r="G7" s="58"/>
      <c r="H7" s="58"/>
    </row>
    <row r="8" spans="1:8" ht="37.200000000000003" customHeight="1">
      <c r="A8" s="12" t="s">
        <v>384</v>
      </c>
      <c r="B8" s="58" t="s">
        <v>337</v>
      </c>
      <c r="C8" s="18" t="s">
        <v>5</v>
      </c>
      <c r="D8" s="58" t="s">
        <v>403</v>
      </c>
      <c r="E8" s="58" t="s">
        <v>404</v>
      </c>
      <c r="F8" s="58" t="s">
        <v>422</v>
      </c>
      <c r="G8" s="58"/>
      <c r="H8" s="58"/>
    </row>
    <row r="9" spans="1:8" ht="82.8">
      <c r="A9" s="12" t="s">
        <v>385</v>
      </c>
      <c r="B9" s="58" t="s">
        <v>391</v>
      </c>
      <c r="C9" s="18" t="s">
        <v>395</v>
      </c>
      <c r="D9" s="58" t="s">
        <v>428</v>
      </c>
      <c r="E9" s="58" t="s">
        <v>394</v>
      </c>
      <c r="F9" s="58" t="s">
        <v>424</v>
      </c>
      <c r="G9" s="58"/>
      <c r="H9" s="58"/>
    </row>
    <row r="10" spans="1:8" ht="41.4">
      <c r="A10" s="12" t="s">
        <v>386</v>
      </c>
      <c r="B10" s="58" t="s">
        <v>413</v>
      </c>
      <c r="C10" s="18" t="s">
        <v>395</v>
      </c>
      <c r="D10" s="58" t="s">
        <v>414</v>
      </c>
      <c r="E10" s="58" t="s">
        <v>415</v>
      </c>
      <c r="F10" s="58" t="s">
        <v>423</v>
      </c>
      <c r="G10" s="58"/>
      <c r="H10" s="58"/>
    </row>
    <row r="11" spans="1:8" ht="27.6">
      <c r="A11" s="12" t="s">
        <v>416</v>
      </c>
      <c r="B11" s="58" t="s">
        <v>417</v>
      </c>
      <c r="C11" s="58" t="s">
        <v>418</v>
      </c>
      <c r="D11" s="58" t="s">
        <v>419</v>
      </c>
      <c r="E11" s="58"/>
      <c r="F11" s="58" t="s">
        <v>420</v>
      </c>
      <c r="G11" s="58"/>
      <c r="H11" s="58"/>
    </row>
    <row r="12" spans="1:8">
      <c r="B12" s="58"/>
      <c r="C12" s="58"/>
      <c r="D12" s="58"/>
      <c r="E12" s="58"/>
      <c r="F12" s="58"/>
      <c r="G12" s="58"/>
      <c r="H12" s="58"/>
    </row>
    <row r="13" spans="1:8">
      <c r="B13" s="58"/>
      <c r="C13" s="58"/>
      <c r="D13" s="58"/>
      <c r="E13" s="58"/>
      <c r="F13" s="58"/>
      <c r="G13" s="58"/>
      <c r="H13" s="58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J20"/>
  <sheetViews>
    <sheetView zoomScaleNormal="100" workbookViewId="0">
      <pane ySplit="1" topLeftCell="A2" activePane="bottomLeft" state="frozen"/>
      <selection pane="bottomLeft" activeCell="G19" sqref="A14:G19"/>
    </sheetView>
  </sheetViews>
  <sheetFormatPr defaultColWidth="8.69921875" defaultRowHeight="13.8"/>
  <cols>
    <col min="1" max="1" width="30" style="12" customWidth="1"/>
    <col min="2" max="2" width="36" style="12" customWidth="1"/>
    <col min="3" max="3" width="31" style="12" customWidth="1"/>
    <col min="4" max="4" width="24" style="12" customWidth="1"/>
    <col min="5" max="5" width="35" style="12" customWidth="1"/>
    <col min="6" max="6" width="8.69921875" style="12"/>
    <col min="7" max="7" width="31" style="12" customWidth="1"/>
    <col min="8" max="8" width="14" style="12" customWidth="1"/>
    <col min="9" max="16384" width="8.69921875" style="12"/>
  </cols>
  <sheetData>
    <row r="1" spans="1:10" ht="22.35" customHeight="1">
      <c r="A1" s="108" t="s">
        <v>327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28.95" customHeight="1">
      <c r="A2" s="112" t="s">
        <v>16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10">
      <c r="B3" s="13"/>
      <c r="C3" s="13"/>
      <c r="D3" s="13"/>
      <c r="E3" s="13"/>
      <c r="F3" s="13"/>
      <c r="G3" s="13"/>
      <c r="H3" s="13"/>
      <c r="I3" s="13"/>
      <c r="J3" s="13"/>
    </row>
    <row r="4" spans="1:10">
      <c r="A4" s="19" t="s">
        <v>17</v>
      </c>
      <c r="B4" s="19" t="s">
        <v>18</v>
      </c>
      <c r="G4" s="113" t="s">
        <v>19</v>
      </c>
      <c r="H4" s="113"/>
      <c r="I4" s="113"/>
      <c r="J4" s="113"/>
    </row>
    <row r="5" spans="1:10" ht="15.6">
      <c r="A5" s="20" t="s">
        <v>326</v>
      </c>
      <c r="B5" s="21" t="s">
        <v>20</v>
      </c>
      <c r="G5" s="22" t="s">
        <v>21</v>
      </c>
      <c r="H5" s="23">
        <f>COUNTIF($A$18:$A$27,"&lt;&gt;")</f>
        <v>3</v>
      </c>
    </row>
    <row r="6" spans="1:10" ht="15.6">
      <c r="A6" s="20" t="s">
        <v>22</v>
      </c>
      <c r="B6" s="21" t="s">
        <v>23</v>
      </c>
      <c r="G6" s="22" t="s">
        <v>24</v>
      </c>
      <c r="H6" s="23" t="e">
        <f>COUNTIF(#REF!,"&lt;&gt;")</f>
        <v>#REF!</v>
      </c>
    </row>
    <row r="7" spans="1:10" ht="15.6">
      <c r="A7" s="20" t="s">
        <v>25</v>
      </c>
      <c r="B7" s="21" t="s">
        <v>26</v>
      </c>
      <c r="G7" s="22" t="s">
        <v>27</v>
      </c>
      <c r="H7" s="23" t="e">
        <f>COUNTIF('Роли и права (шаги 2-4)'!#REF!,"&lt;&gt;")</f>
        <v>#REF!</v>
      </c>
    </row>
    <row r="8" spans="1:10" ht="15.6">
      <c r="A8" s="20" t="s">
        <v>28</v>
      </c>
      <c r="B8" s="21" t="s">
        <v>29</v>
      </c>
      <c r="G8" s="22" t="s">
        <v>30</v>
      </c>
      <c r="H8" s="23">
        <f>COUNTIF('Назначения (шаг 1)'!$I$5:$I$86,"&lt;&gt;")</f>
        <v>7</v>
      </c>
    </row>
    <row r="9" spans="1:10" ht="15.6">
      <c r="A9" s="20" t="s">
        <v>31</v>
      </c>
      <c r="B9" s="21" t="s">
        <v>26</v>
      </c>
      <c r="G9" s="22" t="s">
        <v>32</v>
      </c>
      <c r="H9" s="23">
        <f>COUNTIF('SoD-анализ (шаг 5)'!$A$9:$A$30,"&lt;&gt;")</f>
        <v>4</v>
      </c>
    </row>
    <row r="10" spans="1:10" ht="15.6">
      <c r="A10" s="20" t="s">
        <v>33</v>
      </c>
      <c r="B10" s="21" t="s">
        <v>34</v>
      </c>
      <c r="G10" s="22" t="s">
        <v>35</v>
      </c>
      <c r="H10" s="23" t="e">
        <f>COUNTIF('SoD-анализ (шаг 5)'!#REF!,"SoD-риск подтверждён")</f>
        <v>#REF!</v>
      </c>
    </row>
    <row r="11" spans="1:10" ht="15.6">
      <c r="A11" s="20" t="s">
        <v>36</v>
      </c>
      <c r="B11" s="21" t="s">
        <v>325</v>
      </c>
      <c r="G11" s="22" t="s">
        <v>37</v>
      </c>
      <c r="H11" s="23" t="e">
        <f>COUNTIF(#REF!,"&lt;&gt;")</f>
        <v>#REF!</v>
      </c>
    </row>
    <row r="12" spans="1:10" ht="15.6">
      <c r="A12" s="20" t="s">
        <v>38</v>
      </c>
      <c r="B12" s="24">
        <v>46266</v>
      </c>
      <c r="G12" s="22" t="s">
        <v>39</v>
      </c>
      <c r="H12" s="23">
        <f>COUNTIF('Фактические конфликты (шаг 6)'!$A$5:$A$64,"&lt;&gt;")</f>
        <v>4</v>
      </c>
    </row>
    <row r="13" spans="1:10">
      <c r="A13" s="20" t="s">
        <v>40</v>
      </c>
      <c r="B13" s="24">
        <v>46356</v>
      </c>
    </row>
    <row r="14" spans="1:10">
      <c r="A14" s="20" t="s">
        <v>41</v>
      </c>
      <c r="B14" s="21" t="s">
        <v>42</v>
      </c>
    </row>
    <row r="16" spans="1:10">
      <c r="A16" s="113" t="s">
        <v>43</v>
      </c>
      <c r="B16" s="113"/>
      <c r="C16" s="113"/>
      <c r="D16" s="113"/>
      <c r="E16" s="113"/>
    </row>
    <row r="17" spans="1:5" ht="27.6">
      <c r="A17" s="25" t="s">
        <v>44</v>
      </c>
      <c r="B17" s="25" t="s">
        <v>45</v>
      </c>
      <c r="C17" s="25" t="s">
        <v>46</v>
      </c>
      <c r="D17" s="25" t="s">
        <v>47</v>
      </c>
      <c r="E17" s="25" t="s">
        <v>48</v>
      </c>
    </row>
    <row r="18" spans="1:5">
      <c r="A18" s="26" t="s">
        <v>49</v>
      </c>
      <c r="B18" s="26" t="s">
        <v>50</v>
      </c>
      <c r="C18" s="26" t="s">
        <v>51</v>
      </c>
      <c r="D18" s="26" t="s">
        <v>52</v>
      </c>
      <c r="E18" s="26" t="s">
        <v>53</v>
      </c>
    </row>
    <row r="19" spans="1:5">
      <c r="A19" s="26" t="s">
        <v>54</v>
      </c>
      <c r="B19" s="26" t="s">
        <v>55</v>
      </c>
      <c r="C19" s="26" t="s">
        <v>56</v>
      </c>
      <c r="D19" s="26" t="s">
        <v>52</v>
      </c>
      <c r="E19" s="26" t="s">
        <v>57</v>
      </c>
    </row>
    <row r="20" spans="1:5">
      <c r="A20" s="26" t="s">
        <v>58</v>
      </c>
      <c r="B20" s="26" t="s">
        <v>59</v>
      </c>
      <c r="C20" s="26" t="s">
        <v>60</v>
      </c>
      <c r="D20" s="26" t="s">
        <v>61</v>
      </c>
      <c r="E20" s="26" t="s">
        <v>62</v>
      </c>
    </row>
  </sheetData>
  <mergeCells count="4">
    <mergeCell ref="A1:J1"/>
    <mergeCell ref="A2:J2"/>
    <mergeCell ref="A16:E16"/>
    <mergeCell ref="G4:J4"/>
  </mergeCells>
  <dataValidations count="2">
    <dataValidation type="list" sqref="B14" xr:uid="{00000000-0002-0000-0200-000000000000}">
      <formula1>"Планируется,В работе,Завершена,Приостановлена"</formula1>
    </dataValidation>
    <dataValidation type="list" sqref="D18:D27" xr:uid="{00000000-0002-0000-0200-000001000000}">
      <formula1>"Включена,Исключена,Требует уточнения"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AD7F-56C5-4B24-B805-BB3636522954}">
  <sheetPr>
    <tabColor theme="5" tint="0.79998168889431442"/>
  </sheetPr>
  <dimension ref="A1:H7"/>
  <sheetViews>
    <sheetView zoomScaleNormal="100" workbookViewId="0">
      <pane ySplit="1" topLeftCell="A2" activePane="bottomLeft" state="frozen"/>
      <selection pane="bottomLeft" activeCell="C16" sqref="B12:C16"/>
    </sheetView>
  </sheetViews>
  <sheetFormatPr defaultColWidth="8.69921875" defaultRowHeight="13.8"/>
  <cols>
    <col min="1" max="1" width="18.69921875" style="12" customWidth="1"/>
    <col min="2" max="2" width="13" style="12" customWidth="1"/>
    <col min="3" max="3" width="22.09765625" style="12" customWidth="1"/>
    <col min="4" max="4" width="22" style="12" customWidth="1"/>
    <col min="5" max="6" width="18" style="12" customWidth="1"/>
    <col min="7" max="16384" width="8.69921875" style="12"/>
  </cols>
  <sheetData>
    <row r="1" spans="1:8" ht="22.35" customHeight="1">
      <c r="A1" s="108" t="s">
        <v>335</v>
      </c>
      <c r="B1" s="108"/>
      <c r="C1" s="108"/>
      <c r="D1" s="108"/>
      <c r="E1" s="108"/>
      <c r="F1" s="108"/>
    </row>
    <row r="2" spans="1:8" ht="28.95" customHeight="1">
      <c r="A2" s="112" t="s">
        <v>332</v>
      </c>
      <c r="B2" s="112"/>
      <c r="C2" s="112"/>
      <c r="D2" s="112"/>
      <c r="E2" s="112"/>
      <c r="F2" s="112"/>
      <c r="G2" s="13"/>
      <c r="H2" s="13"/>
    </row>
    <row r="3" spans="1:8" ht="13.95" customHeight="1">
      <c r="A3" s="114" t="s">
        <v>333</v>
      </c>
      <c r="B3" s="114"/>
      <c r="C3" s="114"/>
      <c r="D3" s="115" t="s">
        <v>331</v>
      </c>
      <c r="E3" s="115"/>
      <c r="F3" s="115"/>
    </row>
    <row r="4" spans="1:8" ht="38.4" customHeight="1">
      <c r="A4" s="5" t="s">
        <v>326</v>
      </c>
      <c r="B4" s="5" t="s">
        <v>22</v>
      </c>
      <c r="C4" s="5" t="s">
        <v>28</v>
      </c>
      <c r="D4" s="6" t="s">
        <v>44</v>
      </c>
      <c r="E4" s="27" t="s">
        <v>328</v>
      </c>
      <c r="F4" s="27" t="s">
        <v>329</v>
      </c>
    </row>
    <row r="5" spans="1:8">
      <c r="A5" s="28" t="s">
        <v>20</v>
      </c>
      <c r="B5" s="28" t="s">
        <v>23</v>
      </c>
      <c r="C5" s="28" t="s">
        <v>29</v>
      </c>
      <c r="D5" s="28" t="s">
        <v>334</v>
      </c>
      <c r="E5" s="28" t="s">
        <v>192</v>
      </c>
      <c r="F5" s="29"/>
    </row>
    <row r="6" spans="1:8">
      <c r="A6" s="28" t="s">
        <v>20</v>
      </c>
      <c r="B6" s="28" t="s">
        <v>23</v>
      </c>
      <c r="C6" s="28" t="s">
        <v>29</v>
      </c>
      <c r="D6" s="28" t="s">
        <v>54</v>
      </c>
      <c r="E6" s="28" t="s">
        <v>198</v>
      </c>
      <c r="F6" s="29"/>
    </row>
    <row r="7" spans="1:8" ht="55.2">
      <c r="A7" s="28" t="s">
        <v>20</v>
      </c>
      <c r="B7" s="28" t="s">
        <v>23</v>
      </c>
      <c r="C7" s="28" t="s">
        <v>29</v>
      </c>
      <c r="D7" s="28" t="s">
        <v>58</v>
      </c>
      <c r="E7" s="29" t="s">
        <v>330</v>
      </c>
      <c r="F7" s="29"/>
    </row>
  </sheetData>
  <mergeCells count="4">
    <mergeCell ref="A1:F1"/>
    <mergeCell ref="A2:F2"/>
    <mergeCell ref="A3:C3"/>
    <mergeCell ref="D3:F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S86"/>
  <sheetViews>
    <sheetView zoomScale="94" workbookViewId="0">
      <pane ySplit="1" topLeftCell="A2" activePane="bottomLeft" state="frozen"/>
      <selection pane="bottomLeft" activeCell="A2" sqref="A2:Q2"/>
    </sheetView>
  </sheetViews>
  <sheetFormatPr defaultColWidth="8.69921875" defaultRowHeight="13.8"/>
  <cols>
    <col min="1" max="1" width="10.69921875" style="12" bestFit="1" customWidth="1"/>
    <col min="2" max="2" width="13" style="12" customWidth="1"/>
    <col min="3" max="3" width="21.8984375" style="12" customWidth="1"/>
    <col min="4" max="4" width="5.3984375" style="12" bestFit="1" customWidth="1"/>
    <col min="5" max="5" width="27.5" style="12" customWidth="1"/>
    <col min="6" max="6" width="20.09765625" style="12" customWidth="1"/>
    <col min="7" max="7" width="29.09765625" style="12" bestFit="1" customWidth="1"/>
    <col min="8" max="8" width="21.3984375" style="12" customWidth="1"/>
    <col min="9" max="9" width="14" style="12" customWidth="1"/>
    <col min="10" max="10" width="18" style="12" customWidth="1"/>
    <col min="11" max="11" width="24" style="12" customWidth="1"/>
    <col min="12" max="12" width="16" style="12" bestFit="1" customWidth="1"/>
    <col min="13" max="13" width="25" style="12" customWidth="1"/>
    <col min="14" max="14" width="22" style="12" customWidth="1"/>
    <col min="15" max="15" width="16.69921875" style="12" bestFit="1" customWidth="1"/>
    <col min="16" max="16" width="35" style="12" customWidth="1"/>
    <col min="17" max="17" width="24" style="12" customWidth="1"/>
    <col min="18" max="16384" width="8.69921875" style="12"/>
  </cols>
  <sheetData>
    <row r="1" spans="1:19" ht="21">
      <c r="A1" s="108" t="s">
        <v>387</v>
      </c>
      <c r="B1" s="108"/>
      <c r="C1" s="109"/>
      <c r="D1" s="109"/>
      <c r="E1" s="109"/>
      <c r="F1" s="109"/>
      <c r="G1" s="109"/>
      <c r="H1" s="109"/>
      <c r="I1" s="108"/>
      <c r="J1" s="108"/>
      <c r="K1" s="108"/>
      <c r="L1" s="108"/>
      <c r="M1" s="108"/>
      <c r="N1" s="108"/>
      <c r="O1" s="108"/>
      <c r="P1" s="108"/>
      <c r="Q1" s="108"/>
    </row>
    <row r="2" spans="1:19">
      <c r="A2" s="116" t="s">
        <v>435</v>
      </c>
      <c r="B2" s="116"/>
      <c r="C2" s="117"/>
      <c r="D2" s="117"/>
      <c r="E2" s="117"/>
      <c r="F2" s="117"/>
      <c r="G2" s="117"/>
      <c r="H2" s="117"/>
      <c r="I2" s="116"/>
      <c r="J2" s="116"/>
      <c r="K2" s="116"/>
      <c r="L2" s="116"/>
      <c r="M2" s="116"/>
      <c r="N2" s="116"/>
      <c r="O2" s="116"/>
      <c r="P2" s="116"/>
      <c r="Q2" s="116"/>
      <c r="R2" s="13"/>
      <c r="S2" s="13"/>
    </row>
    <row r="3" spans="1:19" s="104" customFormat="1" ht="13.95" customHeight="1">
      <c r="A3" s="119" t="s">
        <v>181</v>
      </c>
      <c r="B3" s="119"/>
      <c r="C3" s="119"/>
      <c r="D3" s="105"/>
      <c r="E3" s="105"/>
      <c r="F3" s="118" t="s">
        <v>434</v>
      </c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06" t="s">
        <v>95</v>
      </c>
    </row>
    <row r="4" spans="1:19" ht="26.4">
      <c r="A4" s="5" t="s">
        <v>338</v>
      </c>
      <c r="B4" s="5" t="s">
        <v>22</v>
      </c>
      <c r="C4" s="5" t="s">
        <v>28</v>
      </c>
      <c r="D4" s="40" t="s">
        <v>96</v>
      </c>
      <c r="E4" s="40" t="s">
        <v>63</v>
      </c>
      <c r="F4" s="7" t="s">
        <v>64</v>
      </c>
      <c r="G4" s="59" t="s">
        <v>65</v>
      </c>
      <c r="H4" s="7" t="s">
        <v>182</v>
      </c>
      <c r="I4" s="7" t="s">
        <v>183</v>
      </c>
      <c r="J4" s="7" t="s">
        <v>184</v>
      </c>
      <c r="K4" s="7" t="s">
        <v>185</v>
      </c>
      <c r="L4" s="7" t="s">
        <v>186</v>
      </c>
      <c r="M4" s="7" t="s">
        <v>187</v>
      </c>
      <c r="N4" s="59" t="s">
        <v>188</v>
      </c>
      <c r="O4" s="7" t="s">
        <v>189</v>
      </c>
      <c r="P4" s="5" t="s">
        <v>108</v>
      </c>
    </row>
    <row r="5" spans="1:19" ht="51" customHeight="1">
      <c r="A5" s="28" t="s">
        <v>20</v>
      </c>
      <c r="B5" s="28" t="s">
        <v>23</v>
      </c>
      <c r="C5" s="28" t="s">
        <v>29</v>
      </c>
      <c r="D5" s="29" t="s">
        <v>352</v>
      </c>
      <c r="E5" s="28" t="s">
        <v>68</v>
      </c>
      <c r="F5" s="28" t="s">
        <v>69</v>
      </c>
      <c r="G5" s="60" t="s">
        <v>70</v>
      </c>
      <c r="H5" s="37">
        <v>46204</v>
      </c>
      <c r="I5" s="28" t="s">
        <v>190</v>
      </c>
      <c r="J5" s="28" t="s">
        <v>191</v>
      </c>
      <c r="K5" s="28" t="s">
        <v>192</v>
      </c>
      <c r="L5" s="28" t="s">
        <v>193</v>
      </c>
      <c r="M5" s="28" t="s">
        <v>78</v>
      </c>
      <c r="N5" s="60" t="s">
        <v>194</v>
      </c>
      <c r="O5" s="28" t="s">
        <v>195</v>
      </c>
      <c r="P5" s="28" t="s">
        <v>124</v>
      </c>
    </row>
    <row r="6" spans="1:19" ht="27.6">
      <c r="A6" s="28" t="s">
        <v>20</v>
      </c>
      <c r="B6" s="28" t="s">
        <v>23</v>
      </c>
      <c r="C6" s="28" t="s">
        <v>29</v>
      </c>
      <c r="D6" s="29" t="s">
        <v>54</v>
      </c>
      <c r="E6" s="28" t="s">
        <v>75</v>
      </c>
      <c r="F6" s="28" t="s">
        <v>76</v>
      </c>
      <c r="G6" s="60" t="s">
        <v>77</v>
      </c>
      <c r="H6" s="37">
        <v>46204</v>
      </c>
      <c r="I6" s="28" t="s">
        <v>196</v>
      </c>
      <c r="J6" s="28" t="s">
        <v>197</v>
      </c>
      <c r="K6" s="28" t="s">
        <v>198</v>
      </c>
      <c r="L6" s="28" t="s">
        <v>76</v>
      </c>
      <c r="M6" s="28" t="s">
        <v>78</v>
      </c>
      <c r="N6" s="60" t="s">
        <v>140</v>
      </c>
      <c r="O6" s="28" t="s">
        <v>195</v>
      </c>
      <c r="P6" s="28" t="s">
        <v>124</v>
      </c>
    </row>
    <row r="7" spans="1:19" ht="27.6">
      <c r="A7" s="28" t="s">
        <v>20</v>
      </c>
      <c r="B7" s="28" t="s">
        <v>23</v>
      </c>
      <c r="C7" s="28" t="s">
        <v>29</v>
      </c>
      <c r="D7" s="29" t="s">
        <v>54</v>
      </c>
      <c r="E7" s="28" t="s">
        <v>79</v>
      </c>
      <c r="F7" s="28" t="s">
        <v>80</v>
      </c>
      <c r="G7" s="60" t="s">
        <v>81</v>
      </c>
      <c r="H7" s="37">
        <v>46204</v>
      </c>
      <c r="I7" s="28" t="s">
        <v>196</v>
      </c>
      <c r="J7" s="28" t="s">
        <v>197</v>
      </c>
      <c r="K7" s="28" t="s">
        <v>198</v>
      </c>
      <c r="L7" s="28" t="s">
        <v>76</v>
      </c>
      <c r="M7" s="28" t="s">
        <v>78</v>
      </c>
      <c r="N7" s="60" t="s">
        <v>140</v>
      </c>
      <c r="O7" s="28" t="s">
        <v>195</v>
      </c>
      <c r="P7" s="28" t="s">
        <v>124</v>
      </c>
    </row>
    <row r="8" spans="1:19" ht="41.4">
      <c r="A8" s="28" t="s">
        <v>20</v>
      </c>
      <c r="B8" s="28" t="s">
        <v>23</v>
      </c>
      <c r="C8" s="28" t="s">
        <v>29</v>
      </c>
      <c r="D8" s="29" t="s">
        <v>58</v>
      </c>
      <c r="E8" s="28" t="s">
        <v>89</v>
      </c>
      <c r="F8" s="28" t="s">
        <v>90</v>
      </c>
      <c r="G8" s="60" t="s">
        <v>91</v>
      </c>
      <c r="H8" s="37">
        <v>46204</v>
      </c>
      <c r="I8" s="28" t="s">
        <v>199</v>
      </c>
      <c r="J8" s="28" t="s">
        <v>200</v>
      </c>
      <c r="K8" s="28" t="s">
        <v>121</v>
      </c>
      <c r="L8" s="28" t="s">
        <v>201</v>
      </c>
      <c r="M8" s="28" t="s">
        <v>78</v>
      </c>
      <c r="N8" s="60" t="s">
        <v>175</v>
      </c>
      <c r="O8" s="28" t="s">
        <v>195</v>
      </c>
      <c r="P8" s="28" t="s">
        <v>124</v>
      </c>
    </row>
    <row r="9" spans="1:19" ht="27.6">
      <c r="A9" s="28" t="s">
        <v>20</v>
      </c>
      <c r="B9" s="28" t="s">
        <v>23</v>
      </c>
      <c r="C9" s="28" t="s">
        <v>29</v>
      </c>
      <c r="D9" s="29" t="s">
        <v>352</v>
      </c>
      <c r="E9" s="28" t="s">
        <v>92</v>
      </c>
      <c r="F9" s="28" t="s">
        <v>93</v>
      </c>
      <c r="G9" s="60" t="s">
        <v>94</v>
      </c>
      <c r="H9" s="37">
        <v>46204</v>
      </c>
      <c r="I9" s="28" t="s">
        <v>199</v>
      </c>
      <c r="J9" s="28" t="s">
        <v>200</v>
      </c>
      <c r="K9" s="28" t="s">
        <v>121</v>
      </c>
      <c r="L9" s="28" t="s">
        <v>201</v>
      </c>
      <c r="M9" s="28" t="s">
        <v>78</v>
      </c>
      <c r="N9" s="60" t="s">
        <v>178</v>
      </c>
      <c r="O9" s="28" t="s">
        <v>195</v>
      </c>
      <c r="P9" s="28" t="s">
        <v>124</v>
      </c>
    </row>
    <row r="10" spans="1:19" ht="27.6">
      <c r="A10" s="28" t="s">
        <v>20</v>
      </c>
      <c r="B10" s="28" t="s">
        <v>23</v>
      </c>
      <c r="C10" s="28" t="s">
        <v>29</v>
      </c>
      <c r="D10" s="29" t="s">
        <v>352</v>
      </c>
      <c r="E10" s="28" t="s">
        <v>83</v>
      </c>
      <c r="F10" s="28" t="s">
        <v>84</v>
      </c>
      <c r="G10" s="60" t="s">
        <v>85</v>
      </c>
      <c r="H10" s="37">
        <v>46204</v>
      </c>
      <c r="I10" s="28" t="s">
        <v>363</v>
      </c>
      <c r="J10" s="29" t="s">
        <v>362</v>
      </c>
      <c r="K10" s="29" t="s">
        <v>361</v>
      </c>
      <c r="L10" s="28" t="s">
        <v>364</v>
      </c>
      <c r="M10" s="28" t="s">
        <v>78</v>
      </c>
      <c r="N10" s="60" t="s">
        <v>194</v>
      </c>
      <c r="O10" s="28" t="s">
        <v>195</v>
      </c>
      <c r="P10" s="30"/>
    </row>
    <row r="11" spans="1:19" ht="27.6">
      <c r="A11" s="28" t="s">
        <v>20</v>
      </c>
      <c r="B11" s="28" t="s">
        <v>23</v>
      </c>
      <c r="C11" s="28" t="s">
        <v>29</v>
      </c>
      <c r="D11" s="29" t="s">
        <v>352</v>
      </c>
      <c r="E11" s="28" t="s">
        <v>86</v>
      </c>
      <c r="F11" s="28" t="s">
        <v>87</v>
      </c>
      <c r="G11" s="60" t="s">
        <v>88</v>
      </c>
      <c r="H11" s="37">
        <v>46204</v>
      </c>
      <c r="I11" s="28" t="s">
        <v>363</v>
      </c>
      <c r="J11" s="29" t="s">
        <v>362</v>
      </c>
      <c r="K11" s="29" t="s">
        <v>361</v>
      </c>
      <c r="L11" s="28" t="s">
        <v>364</v>
      </c>
      <c r="M11" s="28" t="s">
        <v>78</v>
      </c>
      <c r="N11" s="60" t="s">
        <v>194</v>
      </c>
      <c r="O11" s="28" t="s">
        <v>195</v>
      </c>
      <c r="P11" s="30"/>
    </row>
    <row r="12" spans="1:19">
      <c r="A12" s="30"/>
      <c r="B12" s="36"/>
      <c r="C12" s="36"/>
      <c r="D12" s="36"/>
      <c r="E12" s="36"/>
      <c r="F12" s="36"/>
      <c r="G12" s="36"/>
      <c r="H12" s="38"/>
      <c r="I12" s="17"/>
      <c r="J12" s="17"/>
      <c r="K12" s="17"/>
      <c r="L12" s="17"/>
      <c r="M12" s="17"/>
      <c r="N12" s="17"/>
      <c r="O12" s="17"/>
      <c r="P12" s="30"/>
    </row>
    <row r="13" spans="1:19">
      <c r="A13" s="30"/>
      <c r="B13" s="36"/>
      <c r="C13" s="36"/>
      <c r="D13" s="36"/>
      <c r="E13" s="36"/>
      <c r="F13" s="36"/>
      <c r="G13" s="36"/>
      <c r="H13" s="38"/>
      <c r="I13" s="17"/>
      <c r="J13" s="17"/>
      <c r="K13" s="17"/>
      <c r="L13" s="17"/>
      <c r="M13" s="17"/>
      <c r="N13" s="17"/>
      <c r="O13" s="17"/>
      <c r="P13" s="30"/>
    </row>
    <row r="14" spans="1:19">
      <c r="A14" s="30"/>
      <c r="B14" s="36"/>
      <c r="C14" s="36"/>
      <c r="D14" s="36"/>
      <c r="E14" s="36"/>
      <c r="F14" s="36"/>
      <c r="G14" s="36"/>
      <c r="H14" s="38"/>
      <c r="I14" s="17"/>
      <c r="J14" s="17"/>
      <c r="K14" s="17"/>
      <c r="L14" s="17"/>
      <c r="M14" s="17"/>
      <c r="N14" s="17"/>
      <c r="O14" s="17"/>
      <c r="P14" s="30"/>
    </row>
    <row r="15" spans="1:19">
      <c r="A15" s="30"/>
      <c r="B15" s="36"/>
      <c r="C15" s="36"/>
      <c r="D15" s="36"/>
      <c r="E15" s="36"/>
      <c r="F15" s="36"/>
      <c r="G15" s="36"/>
      <c r="H15" s="38"/>
      <c r="I15" s="17"/>
      <c r="J15" s="17"/>
      <c r="K15" s="17"/>
      <c r="L15" s="17"/>
      <c r="M15" s="17"/>
      <c r="N15" s="17"/>
      <c r="O15" s="17"/>
      <c r="P15" s="30"/>
    </row>
    <row r="16" spans="1:19">
      <c r="A16" s="30"/>
      <c r="B16" s="36"/>
      <c r="C16" s="36"/>
      <c r="D16" s="36"/>
      <c r="E16" s="36"/>
      <c r="F16" s="36"/>
      <c r="G16" s="36"/>
      <c r="H16" s="38"/>
      <c r="I16" s="17"/>
      <c r="J16" s="17"/>
      <c r="K16" s="17"/>
      <c r="L16" s="17"/>
      <c r="M16" s="17"/>
      <c r="N16" s="17"/>
      <c r="O16" s="17"/>
      <c r="P16" s="30"/>
    </row>
    <row r="17" spans="1:16">
      <c r="A17" s="30"/>
      <c r="B17" s="36"/>
      <c r="C17" s="36"/>
      <c r="D17" s="36"/>
      <c r="E17" s="36"/>
      <c r="F17" s="36"/>
      <c r="G17" s="36"/>
      <c r="H17" s="38"/>
      <c r="I17" s="17"/>
      <c r="J17" s="17"/>
      <c r="K17" s="17"/>
      <c r="L17" s="17"/>
      <c r="M17" s="17"/>
      <c r="N17" s="17"/>
      <c r="O17" s="17"/>
      <c r="P17" s="30"/>
    </row>
    <row r="18" spans="1:16">
      <c r="A18" s="30"/>
      <c r="B18" s="36"/>
      <c r="C18" s="36"/>
      <c r="D18" s="36"/>
      <c r="E18" s="36"/>
      <c r="F18" s="36"/>
      <c r="G18" s="36"/>
      <c r="H18" s="38"/>
      <c r="I18" s="17"/>
      <c r="J18" s="17"/>
      <c r="K18" s="17"/>
      <c r="L18" s="17"/>
      <c r="M18" s="17"/>
      <c r="N18" s="17"/>
      <c r="O18" s="17"/>
      <c r="P18" s="30"/>
    </row>
    <row r="19" spans="1:16">
      <c r="A19" s="30"/>
      <c r="B19" s="36"/>
      <c r="C19" s="36"/>
      <c r="D19" s="36"/>
      <c r="E19" s="36"/>
      <c r="F19" s="36"/>
      <c r="G19" s="36"/>
      <c r="H19" s="38"/>
      <c r="I19" s="17"/>
      <c r="J19" s="17"/>
      <c r="K19" s="17"/>
      <c r="L19" s="17"/>
      <c r="M19" s="17"/>
      <c r="N19" s="17"/>
      <c r="O19" s="17"/>
      <c r="P19" s="30"/>
    </row>
    <row r="20" spans="1:16">
      <c r="A20" s="30"/>
      <c r="B20" s="36"/>
      <c r="C20" s="36"/>
      <c r="D20" s="36"/>
      <c r="E20" s="36"/>
      <c r="F20" s="36"/>
      <c r="G20" s="36"/>
      <c r="H20" s="38"/>
      <c r="I20" s="17"/>
      <c r="J20" s="17"/>
      <c r="K20" s="17"/>
      <c r="L20" s="17"/>
      <c r="M20" s="17"/>
      <c r="N20" s="17"/>
      <c r="O20" s="17"/>
      <c r="P20" s="30"/>
    </row>
    <row r="21" spans="1:16">
      <c r="A21" s="30"/>
      <c r="B21" s="36"/>
      <c r="C21" s="36"/>
      <c r="D21" s="36"/>
      <c r="E21" s="36"/>
      <c r="F21" s="36"/>
      <c r="G21" s="36"/>
      <c r="H21" s="38"/>
      <c r="I21" s="17"/>
      <c r="J21" s="17"/>
      <c r="K21" s="17"/>
      <c r="L21" s="17"/>
      <c r="M21" s="17"/>
      <c r="N21" s="17"/>
      <c r="O21" s="17"/>
      <c r="P21" s="30"/>
    </row>
    <row r="22" spans="1:16">
      <c r="A22" s="30"/>
      <c r="B22" s="36"/>
      <c r="C22" s="36"/>
      <c r="D22" s="36"/>
      <c r="E22" s="36"/>
      <c r="F22" s="36"/>
      <c r="G22" s="36"/>
      <c r="H22" s="38"/>
      <c r="I22" s="17"/>
      <c r="J22" s="17"/>
      <c r="K22" s="17"/>
      <c r="L22" s="17"/>
      <c r="M22" s="17"/>
      <c r="N22" s="17"/>
      <c r="O22" s="17"/>
      <c r="P22" s="30"/>
    </row>
    <row r="23" spans="1:16">
      <c r="A23" s="30"/>
      <c r="B23" s="36"/>
      <c r="C23" s="36"/>
      <c r="D23" s="36"/>
      <c r="E23" s="36"/>
      <c r="F23" s="36"/>
      <c r="G23" s="36"/>
      <c r="H23" s="38"/>
      <c r="I23" s="17"/>
      <c r="J23" s="17"/>
      <c r="K23" s="17"/>
      <c r="L23" s="17"/>
      <c r="M23" s="17"/>
      <c r="N23" s="17"/>
      <c r="O23" s="17"/>
      <c r="P23" s="30"/>
    </row>
    <row r="24" spans="1:16">
      <c r="A24" s="30"/>
      <c r="B24" s="36"/>
      <c r="C24" s="36"/>
      <c r="D24" s="36"/>
      <c r="E24" s="36"/>
      <c r="F24" s="36"/>
      <c r="G24" s="36"/>
      <c r="H24" s="38"/>
      <c r="I24" s="17"/>
      <c r="J24" s="17"/>
      <c r="K24" s="17"/>
      <c r="L24" s="17"/>
      <c r="M24" s="17"/>
      <c r="N24" s="17"/>
      <c r="O24" s="17"/>
      <c r="P24" s="30"/>
    </row>
    <row r="25" spans="1:16">
      <c r="A25" s="30"/>
      <c r="B25" s="36"/>
      <c r="C25" s="36"/>
      <c r="D25" s="36"/>
      <c r="E25" s="36"/>
      <c r="F25" s="36"/>
      <c r="G25" s="36"/>
      <c r="H25" s="38"/>
      <c r="I25" s="17"/>
      <c r="J25" s="17"/>
      <c r="K25" s="17"/>
      <c r="L25" s="17"/>
      <c r="M25" s="17"/>
      <c r="N25" s="17"/>
      <c r="O25" s="17"/>
      <c r="P25" s="30"/>
    </row>
    <row r="26" spans="1:16">
      <c r="A26" s="30"/>
      <c r="B26" s="36"/>
      <c r="C26" s="36"/>
      <c r="D26" s="36"/>
      <c r="E26" s="36"/>
      <c r="F26" s="36"/>
      <c r="G26" s="36"/>
      <c r="H26" s="38"/>
      <c r="I26" s="17"/>
      <c r="J26" s="17"/>
      <c r="K26" s="17"/>
      <c r="L26" s="17"/>
      <c r="M26" s="17"/>
      <c r="N26" s="17"/>
      <c r="O26" s="17"/>
      <c r="P26" s="30"/>
    </row>
    <row r="27" spans="1:16">
      <c r="A27" s="30"/>
      <c r="B27" s="36"/>
      <c r="C27" s="36"/>
      <c r="D27" s="36"/>
      <c r="E27" s="36"/>
      <c r="F27" s="36"/>
      <c r="G27" s="36"/>
      <c r="H27" s="38"/>
      <c r="I27" s="17"/>
      <c r="J27" s="17"/>
      <c r="K27" s="17"/>
      <c r="L27" s="17"/>
      <c r="M27" s="17"/>
      <c r="N27" s="17"/>
      <c r="O27" s="17"/>
      <c r="P27" s="30"/>
    </row>
    <row r="28" spans="1:16">
      <c r="A28" s="30"/>
      <c r="B28" s="36"/>
      <c r="C28" s="36"/>
      <c r="D28" s="36"/>
      <c r="E28" s="36"/>
      <c r="F28" s="36"/>
      <c r="G28" s="36"/>
      <c r="H28" s="38"/>
      <c r="I28" s="17"/>
      <c r="J28" s="17"/>
      <c r="K28" s="17"/>
      <c r="L28" s="17"/>
      <c r="M28" s="17"/>
      <c r="N28" s="17"/>
      <c r="O28" s="17"/>
      <c r="P28" s="30"/>
    </row>
    <row r="29" spans="1:16">
      <c r="A29" s="30"/>
      <c r="B29" s="36"/>
      <c r="C29" s="36"/>
      <c r="D29" s="36"/>
      <c r="E29" s="36"/>
      <c r="F29" s="36"/>
      <c r="G29" s="36"/>
      <c r="H29" s="38"/>
      <c r="I29" s="17"/>
      <c r="J29" s="17"/>
      <c r="K29" s="17"/>
      <c r="L29" s="17"/>
      <c r="M29" s="17"/>
      <c r="N29" s="17"/>
      <c r="O29" s="17"/>
      <c r="P29" s="30"/>
    </row>
    <row r="30" spans="1:16">
      <c r="A30" s="30"/>
      <c r="B30" s="36"/>
      <c r="C30" s="36"/>
      <c r="D30" s="36"/>
      <c r="E30" s="36"/>
      <c r="F30" s="36"/>
      <c r="G30" s="36"/>
      <c r="H30" s="38"/>
      <c r="I30" s="17"/>
      <c r="J30" s="17"/>
      <c r="K30" s="17"/>
      <c r="L30" s="17"/>
      <c r="M30" s="17"/>
      <c r="N30" s="17"/>
      <c r="O30" s="17"/>
      <c r="P30" s="30"/>
    </row>
    <row r="31" spans="1:16">
      <c r="A31" s="30"/>
      <c r="B31" s="36"/>
      <c r="C31" s="36"/>
      <c r="D31" s="36"/>
      <c r="E31" s="36"/>
      <c r="F31" s="36"/>
      <c r="G31" s="36"/>
      <c r="H31" s="38"/>
      <c r="I31" s="17"/>
      <c r="J31" s="17"/>
      <c r="K31" s="17"/>
      <c r="L31" s="17"/>
      <c r="M31" s="17"/>
      <c r="N31" s="17"/>
      <c r="O31" s="17"/>
      <c r="P31" s="30"/>
    </row>
    <row r="32" spans="1:16">
      <c r="A32" s="30"/>
      <c r="B32" s="36"/>
      <c r="C32" s="36"/>
      <c r="D32" s="36"/>
      <c r="E32" s="36"/>
      <c r="F32" s="36"/>
      <c r="G32" s="36"/>
      <c r="H32" s="38"/>
      <c r="I32" s="17"/>
      <c r="J32" s="17"/>
      <c r="K32" s="17"/>
      <c r="L32" s="17"/>
      <c r="M32" s="17"/>
      <c r="N32" s="17"/>
      <c r="O32" s="17"/>
      <c r="P32" s="30"/>
    </row>
    <row r="33" spans="1:16">
      <c r="A33" s="30"/>
      <c r="B33" s="36"/>
      <c r="C33" s="36"/>
      <c r="D33" s="36"/>
      <c r="E33" s="36"/>
      <c r="F33" s="36"/>
      <c r="G33" s="36"/>
      <c r="H33" s="38"/>
      <c r="I33" s="17"/>
      <c r="J33" s="17"/>
      <c r="K33" s="17"/>
      <c r="L33" s="17"/>
      <c r="M33" s="17"/>
      <c r="N33" s="17"/>
      <c r="O33" s="17"/>
      <c r="P33" s="30"/>
    </row>
    <row r="34" spans="1:16">
      <c r="A34" s="30"/>
      <c r="B34" s="36"/>
      <c r="C34" s="36"/>
      <c r="D34" s="36"/>
      <c r="E34" s="36"/>
      <c r="F34" s="36"/>
      <c r="G34" s="36"/>
      <c r="H34" s="38"/>
      <c r="I34" s="17"/>
      <c r="J34" s="17"/>
      <c r="K34" s="17"/>
      <c r="L34" s="17"/>
      <c r="M34" s="17"/>
      <c r="N34" s="17"/>
      <c r="O34" s="17"/>
      <c r="P34" s="30"/>
    </row>
    <row r="35" spans="1:16">
      <c r="A35" s="30"/>
      <c r="B35" s="36"/>
      <c r="C35" s="36"/>
      <c r="D35" s="36"/>
      <c r="E35" s="36"/>
      <c r="F35" s="36"/>
      <c r="G35" s="36"/>
      <c r="H35" s="38"/>
      <c r="I35" s="17"/>
      <c r="J35" s="17"/>
      <c r="K35" s="17"/>
      <c r="L35" s="17"/>
      <c r="M35" s="17"/>
      <c r="N35" s="17"/>
      <c r="O35" s="17"/>
      <c r="P35" s="30"/>
    </row>
    <row r="36" spans="1:16">
      <c r="A36" s="30"/>
      <c r="B36" s="36"/>
      <c r="C36" s="36"/>
      <c r="D36" s="36"/>
      <c r="E36" s="36"/>
      <c r="F36" s="36"/>
      <c r="G36" s="36"/>
      <c r="H36" s="38"/>
      <c r="I36" s="17"/>
      <c r="J36" s="17"/>
      <c r="K36" s="17"/>
      <c r="L36" s="17"/>
      <c r="M36" s="17"/>
      <c r="N36" s="17"/>
      <c r="O36" s="17"/>
      <c r="P36" s="30"/>
    </row>
    <row r="37" spans="1:16">
      <c r="A37" s="30"/>
      <c r="B37" s="36"/>
      <c r="C37" s="36"/>
      <c r="D37" s="36"/>
      <c r="E37" s="36"/>
      <c r="F37" s="36"/>
      <c r="G37" s="36"/>
      <c r="H37" s="38"/>
      <c r="I37" s="17"/>
      <c r="J37" s="17"/>
      <c r="K37" s="17"/>
      <c r="L37" s="17"/>
      <c r="M37" s="17"/>
      <c r="N37" s="17"/>
      <c r="O37" s="17"/>
      <c r="P37" s="30"/>
    </row>
    <row r="38" spans="1:16">
      <c r="A38" s="30"/>
      <c r="B38" s="36"/>
      <c r="C38" s="36"/>
      <c r="D38" s="36"/>
      <c r="E38" s="36"/>
      <c r="F38" s="36"/>
      <c r="G38" s="36"/>
      <c r="H38" s="38"/>
      <c r="I38" s="17"/>
      <c r="J38" s="17"/>
      <c r="K38" s="17"/>
      <c r="L38" s="17"/>
      <c r="M38" s="17"/>
      <c r="N38" s="17"/>
      <c r="O38" s="17"/>
      <c r="P38" s="30"/>
    </row>
    <row r="39" spans="1:16">
      <c r="A39" s="30"/>
      <c r="B39" s="36"/>
      <c r="C39" s="36"/>
      <c r="D39" s="36"/>
      <c r="E39" s="36"/>
      <c r="F39" s="36"/>
      <c r="G39" s="36"/>
      <c r="H39" s="38"/>
      <c r="I39" s="17"/>
      <c r="J39" s="17"/>
      <c r="K39" s="17"/>
      <c r="L39" s="17"/>
      <c r="M39" s="17"/>
      <c r="N39" s="17"/>
      <c r="O39" s="17"/>
      <c r="P39" s="30"/>
    </row>
    <row r="40" spans="1:16">
      <c r="A40" s="30"/>
      <c r="B40" s="36"/>
      <c r="C40" s="36"/>
      <c r="D40" s="36"/>
      <c r="E40" s="36"/>
      <c r="F40" s="36"/>
      <c r="G40" s="36"/>
      <c r="H40" s="38"/>
      <c r="I40" s="17"/>
      <c r="J40" s="17"/>
      <c r="K40" s="17"/>
      <c r="L40" s="17"/>
      <c r="M40" s="17"/>
      <c r="N40" s="17"/>
      <c r="O40" s="17"/>
      <c r="P40" s="30"/>
    </row>
    <row r="41" spans="1:16">
      <c r="A41" s="30"/>
      <c r="B41" s="36"/>
      <c r="C41" s="36"/>
      <c r="D41" s="36"/>
      <c r="E41" s="36"/>
      <c r="F41" s="36"/>
      <c r="G41" s="36"/>
      <c r="H41" s="38"/>
      <c r="I41" s="17"/>
      <c r="J41" s="17"/>
      <c r="K41" s="17"/>
      <c r="L41" s="17"/>
      <c r="M41" s="17"/>
      <c r="N41" s="17"/>
      <c r="O41" s="17"/>
      <c r="P41" s="30"/>
    </row>
    <row r="42" spans="1:16">
      <c r="A42" s="30"/>
      <c r="B42" s="36"/>
      <c r="C42" s="36"/>
      <c r="D42" s="36"/>
      <c r="E42" s="36"/>
      <c r="F42" s="36"/>
      <c r="G42" s="36"/>
      <c r="H42" s="38"/>
      <c r="I42" s="17"/>
      <c r="J42" s="17"/>
      <c r="K42" s="17"/>
      <c r="L42" s="17"/>
      <c r="M42" s="17"/>
      <c r="N42" s="17"/>
      <c r="O42" s="17"/>
      <c r="P42" s="30"/>
    </row>
    <row r="43" spans="1:16">
      <c r="A43" s="30"/>
      <c r="B43" s="36"/>
      <c r="C43" s="36"/>
      <c r="D43" s="36"/>
      <c r="E43" s="36"/>
      <c r="F43" s="36"/>
      <c r="G43" s="36"/>
      <c r="H43" s="38"/>
      <c r="I43" s="17"/>
      <c r="J43" s="17"/>
      <c r="K43" s="17"/>
      <c r="L43" s="17"/>
      <c r="M43" s="17"/>
      <c r="N43" s="17"/>
      <c r="O43" s="17"/>
      <c r="P43" s="30"/>
    </row>
    <row r="44" spans="1:16">
      <c r="A44" s="30"/>
      <c r="B44" s="36"/>
      <c r="C44" s="36"/>
      <c r="D44" s="36"/>
      <c r="E44" s="36"/>
      <c r="F44" s="36"/>
      <c r="G44" s="36"/>
      <c r="H44" s="38"/>
      <c r="I44" s="17"/>
      <c r="J44" s="17"/>
      <c r="K44" s="17"/>
      <c r="L44" s="17"/>
      <c r="M44" s="17"/>
      <c r="N44" s="17"/>
      <c r="O44" s="17"/>
      <c r="P44" s="30"/>
    </row>
    <row r="45" spans="1:16">
      <c r="A45" s="30"/>
      <c r="B45" s="36"/>
      <c r="C45" s="36"/>
      <c r="D45" s="36"/>
      <c r="E45" s="36"/>
      <c r="F45" s="36"/>
      <c r="G45" s="36"/>
      <c r="H45" s="38"/>
      <c r="I45" s="17"/>
      <c r="J45" s="17"/>
      <c r="K45" s="17"/>
      <c r="L45" s="17"/>
      <c r="M45" s="17"/>
      <c r="N45" s="17"/>
      <c r="O45" s="17"/>
      <c r="P45" s="30"/>
    </row>
    <row r="46" spans="1:16">
      <c r="A46" s="30"/>
      <c r="B46" s="36"/>
      <c r="C46" s="36"/>
      <c r="D46" s="36"/>
      <c r="E46" s="36"/>
      <c r="F46" s="36"/>
      <c r="G46" s="36"/>
      <c r="H46" s="38"/>
      <c r="I46" s="17"/>
      <c r="J46" s="17"/>
      <c r="K46" s="17"/>
      <c r="L46" s="17"/>
      <c r="M46" s="17"/>
      <c r="N46" s="17"/>
      <c r="O46" s="17"/>
      <c r="P46" s="30"/>
    </row>
    <row r="47" spans="1:16">
      <c r="A47" s="30"/>
      <c r="B47" s="36"/>
      <c r="C47" s="36"/>
      <c r="D47" s="36"/>
      <c r="E47" s="36"/>
      <c r="F47" s="36"/>
      <c r="G47" s="36"/>
      <c r="H47" s="38"/>
      <c r="I47" s="17"/>
      <c r="J47" s="17"/>
      <c r="K47" s="17"/>
      <c r="L47" s="17"/>
      <c r="M47" s="17"/>
      <c r="N47" s="17"/>
      <c r="O47" s="17"/>
      <c r="P47" s="30"/>
    </row>
    <row r="48" spans="1:16">
      <c r="A48" s="30"/>
      <c r="B48" s="36"/>
      <c r="C48" s="36"/>
      <c r="D48" s="36"/>
      <c r="E48" s="36"/>
      <c r="F48" s="36"/>
      <c r="G48" s="36"/>
      <c r="H48" s="38"/>
      <c r="I48" s="17"/>
      <c r="J48" s="17"/>
      <c r="K48" s="17"/>
      <c r="L48" s="17"/>
      <c r="M48" s="17"/>
      <c r="N48" s="17"/>
      <c r="O48" s="17"/>
      <c r="P48" s="30"/>
    </row>
    <row r="49" spans="1:16">
      <c r="A49" s="30"/>
      <c r="B49" s="36"/>
      <c r="C49" s="36"/>
      <c r="D49" s="36"/>
      <c r="E49" s="36"/>
      <c r="F49" s="36"/>
      <c r="G49" s="36"/>
      <c r="H49" s="38"/>
      <c r="I49" s="17"/>
      <c r="J49" s="17"/>
      <c r="K49" s="17"/>
      <c r="L49" s="17"/>
      <c r="M49" s="17"/>
      <c r="N49" s="17"/>
      <c r="O49" s="17"/>
      <c r="P49" s="30"/>
    </row>
    <row r="50" spans="1:16">
      <c r="A50" s="30"/>
      <c r="B50" s="36"/>
      <c r="C50" s="36"/>
      <c r="D50" s="36"/>
      <c r="E50" s="36"/>
      <c r="F50" s="36"/>
      <c r="G50" s="36"/>
      <c r="H50" s="38"/>
      <c r="I50" s="17"/>
      <c r="J50" s="17"/>
      <c r="K50" s="17"/>
      <c r="L50" s="17"/>
      <c r="M50" s="17"/>
      <c r="N50" s="17"/>
      <c r="O50" s="17"/>
      <c r="P50" s="30"/>
    </row>
    <row r="51" spans="1:16">
      <c r="A51" s="30"/>
      <c r="B51" s="36"/>
      <c r="C51" s="36"/>
      <c r="D51" s="36"/>
      <c r="E51" s="36"/>
      <c r="F51" s="36"/>
      <c r="G51" s="36"/>
      <c r="H51" s="38"/>
      <c r="I51" s="17"/>
      <c r="J51" s="17"/>
      <c r="K51" s="17"/>
      <c r="L51" s="17"/>
      <c r="M51" s="17"/>
      <c r="N51" s="17"/>
      <c r="O51" s="17"/>
      <c r="P51" s="30"/>
    </row>
    <row r="52" spans="1:16">
      <c r="A52" s="30"/>
      <c r="B52" s="36"/>
      <c r="C52" s="36"/>
      <c r="D52" s="36"/>
      <c r="E52" s="36"/>
      <c r="F52" s="36"/>
      <c r="G52" s="36"/>
      <c r="H52" s="38"/>
      <c r="I52" s="17"/>
      <c r="J52" s="17"/>
      <c r="K52" s="17"/>
      <c r="L52" s="17"/>
      <c r="M52" s="17"/>
      <c r="N52" s="17"/>
      <c r="O52" s="17"/>
      <c r="P52" s="30"/>
    </row>
    <row r="53" spans="1:16">
      <c r="A53" s="30"/>
      <c r="B53" s="36"/>
      <c r="C53" s="36"/>
      <c r="D53" s="36"/>
      <c r="E53" s="36"/>
      <c r="F53" s="36"/>
      <c r="G53" s="36"/>
      <c r="H53" s="38"/>
      <c r="I53" s="17"/>
      <c r="J53" s="17"/>
      <c r="K53" s="17"/>
      <c r="L53" s="17"/>
      <c r="M53" s="17"/>
      <c r="N53" s="17"/>
      <c r="O53" s="17"/>
      <c r="P53" s="30"/>
    </row>
    <row r="54" spans="1:16">
      <c r="A54" s="30"/>
      <c r="B54" s="36"/>
      <c r="C54" s="36"/>
      <c r="D54" s="36"/>
      <c r="E54" s="36"/>
      <c r="F54" s="36"/>
      <c r="G54" s="36"/>
      <c r="H54" s="38"/>
      <c r="I54" s="17"/>
      <c r="J54" s="17"/>
      <c r="K54" s="17"/>
      <c r="L54" s="17"/>
      <c r="M54" s="17"/>
      <c r="N54" s="17"/>
      <c r="O54" s="17"/>
      <c r="P54" s="30"/>
    </row>
    <row r="55" spans="1:16">
      <c r="A55" s="30"/>
      <c r="B55" s="36"/>
      <c r="C55" s="36"/>
      <c r="D55" s="36"/>
      <c r="E55" s="36"/>
      <c r="F55" s="36"/>
      <c r="G55" s="36"/>
      <c r="H55" s="38"/>
      <c r="I55" s="17"/>
      <c r="J55" s="17"/>
      <c r="K55" s="17"/>
      <c r="L55" s="17"/>
      <c r="M55" s="17"/>
      <c r="N55" s="17"/>
      <c r="O55" s="17"/>
      <c r="P55" s="30"/>
    </row>
    <row r="56" spans="1:16">
      <c r="A56" s="30"/>
      <c r="B56" s="36"/>
      <c r="C56" s="36"/>
      <c r="D56" s="36"/>
      <c r="E56" s="36"/>
      <c r="F56" s="36"/>
      <c r="G56" s="36"/>
      <c r="H56" s="38"/>
      <c r="I56" s="17"/>
      <c r="J56" s="17"/>
      <c r="K56" s="17"/>
      <c r="L56" s="17"/>
      <c r="M56" s="17"/>
      <c r="N56" s="17"/>
      <c r="O56" s="17"/>
      <c r="P56" s="30"/>
    </row>
    <row r="57" spans="1:16">
      <c r="A57" s="30"/>
      <c r="B57" s="36"/>
      <c r="C57" s="36"/>
      <c r="D57" s="36"/>
      <c r="E57" s="36"/>
      <c r="F57" s="36"/>
      <c r="G57" s="36"/>
      <c r="H57" s="38"/>
      <c r="I57" s="17"/>
      <c r="J57" s="17"/>
      <c r="K57" s="17"/>
      <c r="L57" s="17"/>
      <c r="M57" s="17"/>
      <c r="N57" s="17"/>
      <c r="O57" s="17"/>
      <c r="P57" s="30"/>
    </row>
    <row r="58" spans="1:16">
      <c r="A58" s="30"/>
      <c r="B58" s="36"/>
      <c r="C58" s="36"/>
      <c r="D58" s="36"/>
      <c r="E58" s="36"/>
      <c r="F58" s="36"/>
      <c r="G58" s="36"/>
      <c r="H58" s="38"/>
      <c r="I58" s="17"/>
      <c r="J58" s="17"/>
      <c r="K58" s="17"/>
      <c r="L58" s="17"/>
      <c r="M58" s="17"/>
      <c r="N58" s="17"/>
      <c r="O58" s="17"/>
      <c r="P58" s="30"/>
    </row>
    <row r="59" spans="1:16">
      <c r="A59" s="30"/>
      <c r="B59" s="36"/>
      <c r="C59" s="36"/>
      <c r="D59" s="36"/>
      <c r="E59" s="36"/>
      <c r="F59" s="36"/>
      <c r="G59" s="36"/>
      <c r="H59" s="38"/>
      <c r="I59" s="17"/>
      <c r="J59" s="17"/>
      <c r="K59" s="17"/>
      <c r="L59" s="17"/>
      <c r="M59" s="17"/>
      <c r="N59" s="17"/>
      <c r="O59" s="17"/>
      <c r="P59" s="30"/>
    </row>
    <row r="60" spans="1:16">
      <c r="A60" s="30"/>
      <c r="B60" s="36"/>
      <c r="C60" s="36"/>
      <c r="D60" s="36"/>
      <c r="E60" s="36"/>
      <c r="F60" s="36"/>
      <c r="G60" s="36"/>
      <c r="H60" s="38"/>
      <c r="I60" s="17"/>
      <c r="J60" s="17"/>
      <c r="K60" s="17"/>
      <c r="L60" s="17"/>
      <c r="M60" s="17"/>
      <c r="N60" s="17"/>
      <c r="O60" s="17"/>
      <c r="P60" s="30"/>
    </row>
    <row r="61" spans="1:16">
      <c r="A61" s="30"/>
      <c r="B61" s="36"/>
      <c r="C61" s="36"/>
      <c r="D61" s="36"/>
      <c r="E61" s="36"/>
      <c r="F61" s="36"/>
      <c r="G61" s="36"/>
      <c r="H61" s="38"/>
      <c r="I61" s="17"/>
      <c r="J61" s="17"/>
      <c r="K61" s="17"/>
      <c r="L61" s="17"/>
      <c r="M61" s="17"/>
      <c r="N61" s="17"/>
      <c r="O61" s="17"/>
      <c r="P61" s="30"/>
    </row>
    <row r="62" spans="1:16">
      <c r="A62" s="30"/>
      <c r="B62" s="36"/>
      <c r="C62" s="36"/>
      <c r="D62" s="36"/>
      <c r="E62" s="36"/>
      <c r="F62" s="36"/>
      <c r="G62" s="36"/>
      <c r="H62" s="38"/>
      <c r="I62" s="17"/>
      <c r="J62" s="17"/>
      <c r="K62" s="17"/>
      <c r="L62" s="17"/>
      <c r="M62" s="17"/>
      <c r="N62" s="17"/>
      <c r="O62" s="17"/>
      <c r="P62" s="30"/>
    </row>
    <row r="63" spans="1:16">
      <c r="A63" s="30"/>
      <c r="B63" s="36"/>
      <c r="C63" s="36"/>
      <c r="D63" s="36"/>
      <c r="E63" s="36"/>
      <c r="F63" s="36"/>
      <c r="G63" s="36"/>
      <c r="H63" s="38"/>
      <c r="I63" s="17"/>
      <c r="J63" s="17"/>
      <c r="K63" s="17"/>
      <c r="L63" s="17"/>
      <c r="M63" s="17"/>
      <c r="N63" s="17"/>
      <c r="O63" s="17"/>
      <c r="P63" s="30"/>
    </row>
    <row r="64" spans="1:16">
      <c r="A64" s="30"/>
      <c r="B64" s="36"/>
      <c r="C64" s="36"/>
      <c r="D64" s="36"/>
      <c r="E64" s="36"/>
      <c r="F64" s="36"/>
      <c r="G64" s="36"/>
      <c r="H64" s="38"/>
      <c r="I64" s="17"/>
      <c r="J64" s="17"/>
      <c r="K64" s="17"/>
      <c r="L64" s="17"/>
      <c r="M64" s="17"/>
      <c r="N64" s="17"/>
      <c r="O64" s="17"/>
      <c r="P64" s="30"/>
    </row>
    <row r="65" spans="1:16">
      <c r="A65" s="30"/>
      <c r="B65" s="36"/>
      <c r="C65" s="36"/>
      <c r="D65" s="36"/>
      <c r="E65" s="36"/>
      <c r="F65" s="36"/>
      <c r="G65" s="36"/>
      <c r="H65" s="38"/>
      <c r="I65" s="17"/>
      <c r="J65" s="17"/>
      <c r="K65" s="17"/>
      <c r="L65" s="17"/>
      <c r="M65" s="17"/>
      <c r="N65" s="17"/>
      <c r="O65" s="17"/>
      <c r="P65" s="30"/>
    </row>
    <row r="66" spans="1:16">
      <c r="A66" s="30"/>
      <c r="B66" s="36"/>
      <c r="C66" s="36"/>
      <c r="D66" s="36"/>
      <c r="E66" s="36"/>
      <c r="F66" s="36"/>
      <c r="G66" s="36"/>
      <c r="H66" s="38"/>
      <c r="I66" s="17"/>
      <c r="J66" s="17"/>
      <c r="K66" s="17"/>
      <c r="L66" s="17"/>
      <c r="M66" s="17"/>
      <c r="N66" s="17"/>
      <c r="O66" s="17"/>
      <c r="P66" s="30"/>
    </row>
    <row r="67" spans="1:16">
      <c r="A67" s="30"/>
      <c r="B67" s="36"/>
      <c r="C67" s="36"/>
      <c r="D67" s="36"/>
      <c r="E67" s="36"/>
      <c r="F67" s="36"/>
      <c r="G67" s="36"/>
      <c r="H67" s="38"/>
      <c r="I67" s="17"/>
      <c r="J67" s="17"/>
      <c r="K67" s="17"/>
      <c r="L67" s="17"/>
      <c r="M67" s="17"/>
      <c r="N67" s="17"/>
      <c r="O67" s="17"/>
      <c r="P67" s="30"/>
    </row>
    <row r="68" spans="1:16">
      <c r="A68" s="30"/>
      <c r="B68" s="36"/>
      <c r="C68" s="36"/>
      <c r="D68" s="36"/>
      <c r="E68" s="36"/>
      <c r="F68" s="36"/>
      <c r="G68" s="36"/>
      <c r="H68" s="38"/>
      <c r="I68" s="17"/>
      <c r="J68" s="17"/>
      <c r="K68" s="17"/>
      <c r="L68" s="17"/>
      <c r="M68" s="17"/>
      <c r="N68" s="17"/>
      <c r="O68" s="17"/>
      <c r="P68" s="30"/>
    </row>
    <row r="69" spans="1:16">
      <c r="A69" s="30"/>
      <c r="B69" s="36"/>
      <c r="C69" s="36"/>
      <c r="D69" s="36"/>
      <c r="E69" s="36"/>
      <c r="F69" s="36"/>
      <c r="G69" s="36"/>
      <c r="H69" s="38"/>
      <c r="I69" s="17"/>
      <c r="J69" s="17"/>
      <c r="K69" s="17"/>
      <c r="L69" s="17"/>
      <c r="M69" s="17"/>
      <c r="N69" s="17"/>
      <c r="O69" s="17"/>
      <c r="P69" s="30"/>
    </row>
    <row r="70" spans="1:16">
      <c r="A70" s="30"/>
      <c r="B70" s="36"/>
      <c r="C70" s="36"/>
      <c r="D70" s="36"/>
      <c r="E70" s="36"/>
      <c r="F70" s="36"/>
      <c r="G70" s="36"/>
      <c r="H70" s="38"/>
      <c r="I70" s="17"/>
      <c r="J70" s="17"/>
      <c r="K70" s="17"/>
      <c r="L70" s="17"/>
      <c r="M70" s="17"/>
      <c r="N70" s="17"/>
      <c r="O70" s="17"/>
      <c r="P70" s="30"/>
    </row>
    <row r="71" spans="1:16">
      <c r="A71" s="30"/>
      <c r="B71" s="36"/>
      <c r="C71" s="36"/>
      <c r="D71" s="36"/>
      <c r="E71" s="36"/>
      <c r="F71" s="36"/>
      <c r="G71" s="36"/>
      <c r="H71" s="38"/>
      <c r="I71" s="17"/>
      <c r="J71" s="17"/>
      <c r="K71" s="17"/>
      <c r="L71" s="17"/>
      <c r="M71" s="17"/>
      <c r="N71" s="17"/>
      <c r="O71" s="17"/>
      <c r="P71" s="30"/>
    </row>
    <row r="72" spans="1:16">
      <c r="A72" s="30"/>
      <c r="B72" s="36"/>
      <c r="C72" s="36"/>
      <c r="D72" s="36"/>
      <c r="E72" s="36"/>
      <c r="F72" s="36"/>
      <c r="G72" s="36"/>
      <c r="H72" s="38"/>
      <c r="I72" s="17"/>
      <c r="J72" s="17"/>
      <c r="K72" s="17"/>
      <c r="L72" s="17"/>
      <c r="M72" s="17"/>
      <c r="N72" s="17"/>
      <c r="O72" s="17"/>
      <c r="P72" s="30"/>
    </row>
    <row r="73" spans="1:16">
      <c r="A73" s="30"/>
      <c r="B73" s="36"/>
      <c r="C73" s="36"/>
      <c r="D73" s="36"/>
      <c r="E73" s="36"/>
      <c r="F73" s="36"/>
      <c r="G73" s="36"/>
      <c r="H73" s="38"/>
      <c r="I73" s="17"/>
      <c r="J73" s="17"/>
      <c r="K73" s="17"/>
      <c r="L73" s="17"/>
      <c r="M73" s="17"/>
      <c r="N73" s="17"/>
      <c r="O73" s="17"/>
      <c r="P73" s="30"/>
    </row>
    <row r="74" spans="1:16">
      <c r="A74" s="30"/>
      <c r="B74" s="36"/>
      <c r="C74" s="36"/>
      <c r="D74" s="36"/>
      <c r="E74" s="36"/>
      <c r="F74" s="36"/>
      <c r="G74" s="36"/>
      <c r="H74" s="38"/>
      <c r="I74" s="17"/>
      <c r="J74" s="17"/>
      <c r="K74" s="17"/>
      <c r="L74" s="17"/>
      <c r="M74" s="17"/>
      <c r="N74" s="17"/>
      <c r="O74" s="17"/>
      <c r="P74" s="30"/>
    </row>
    <row r="75" spans="1:16">
      <c r="A75" s="30"/>
      <c r="B75" s="36"/>
      <c r="C75" s="36"/>
      <c r="D75" s="36"/>
      <c r="E75" s="36"/>
      <c r="F75" s="36"/>
      <c r="G75" s="36"/>
      <c r="H75" s="38"/>
      <c r="I75" s="17"/>
      <c r="J75" s="17"/>
      <c r="K75" s="17"/>
      <c r="L75" s="17"/>
      <c r="M75" s="17"/>
      <c r="N75" s="17"/>
      <c r="O75" s="17"/>
      <c r="P75" s="30"/>
    </row>
    <row r="76" spans="1:16">
      <c r="A76" s="30"/>
      <c r="B76" s="36"/>
      <c r="C76" s="36"/>
      <c r="D76" s="36"/>
      <c r="E76" s="36"/>
      <c r="F76" s="36"/>
      <c r="G76" s="36"/>
      <c r="H76" s="38"/>
      <c r="I76" s="17"/>
      <c r="J76" s="17"/>
      <c r="K76" s="17"/>
      <c r="L76" s="17"/>
      <c r="M76" s="17"/>
      <c r="N76" s="17"/>
      <c r="O76" s="17"/>
      <c r="P76" s="30"/>
    </row>
    <row r="77" spans="1:16">
      <c r="A77" s="30"/>
      <c r="B77" s="36"/>
      <c r="C77" s="36"/>
      <c r="D77" s="36"/>
      <c r="E77" s="36"/>
      <c r="F77" s="36"/>
      <c r="G77" s="36"/>
      <c r="H77" s="38"/>
      <c r="I77" s="17"/>
      <c r="J77" s="17"/>
      <c r="K77" s="17"/>
      <c r="L77" s="17"/>
      <c r="M77" s="17"/>
      <c r="N77" s="17"/>
      <c r="O77" s="17"/>
      <c r="P77" s="30"/>
    </row>
    <row r="78" spans="1:16">
      <c r="A78" s="30"/>
      <c r="B78" s="36"/>
      <c r="C78" s="36"/>
      <c r="D78" s="36"/>
      <c r="E78" s="36"/>
      <c r="F78" s="36"/>
      <c r="G78" s="36"/>
      <c r="H78" s="38"/>
      <c r="I78" s="17"/>
      <c r="J78" s="17"/>
      <c r="K78" s="17"/>
      <c r="L78" s="17"/>
      <c r="M78" s="17"/>
      <c r="N78" s="17"/>
      <c r="O78" s="17"/>
      <c r="P78" s="30"/>
    </row>
    <row r="79" spans="1:16">
      <c r="A79" s="30"/>
      <c r="B79" s="36"/>
      <c r="C79" s="36"/>
      <c r="D79" s="36"/>
      <c r="E79" s="36"/>
      <c r="F79" s="36"/>
      <c r="G79" s="36"/>
      <c r="H79" s="38"/>
      <c r="I79" s="17"/>
      <c r="J79" s="17"/>
      <c r="K79" s="17"/>
      <c r="L79" s="17"/>
      <c r="M79" s="17"/>
      <c r="N79" s="17"/>
      <c r="O79" s="17"/>
      <c r="P79" s="30"/>
    </row>
    <row r="80" spans="1:16">
      <c r="A80" s="30"/>
      <c r="B80" s="36"/>
      <c r="C80" s="36"/>
      <c r="D80" s="36"/>
      <c r="E80" s="36"/>
      <c r="F80" s="36"/>
      <c r="G80" s="36"/>
      <c r="H80" s="38"/>
      <c r="I80" s="17"/>
      <c r="J80" s="17"/>
      <c r="K80" s="17"/>
      <c r="L80" s="17"/>
      <c r="M80" s="17"/>
      <c r="N80" s="17"/>
      <c r="O80" s="17"/>
      <c r="P80" s="30"/>
    </row>
    <row r="81" spans="1:16">
      <c r="A81" s="30"/>
      <c r="B81" s="36"/>
      <c r="C81" s="36"/>
      <c r="D81" s="36"/>
      <c r="E81" s="36"/>
      <c r="F81" s="36"/>
      <c r="G81" s="36"/>
      <c r="H81" s="38"/>
      <c r="I81" s="17"/>
      <c r="J81" s="17"/>
      <c r="K81" s="17"/>
      <c r="L81" s="17"/>
      <c r="M81" s="17"/>
      <c r="N81" s="17"/>
      <c r="O81" s="17"/>
      <c r="P81" s="30"/>
    </row>
    <row r="82" spans="1:16">
      <c r="A82" s="30"/>
      <c r="B82" s="36"/>
      <c r="C82" s="36"/>
      <c r="D82" s="36"/>
      <c r="E82" s="36"/>
      <c r="F82" s="36"/>
      <c r="G82" s="36"/>
      <c r="H82" s="38"/>
      <c r="I82" s="17"/>
      <c r="J82" s="17"/>
      <c r="K82" s="17"/>
      <c r="L82" s="17"/>
      <c r="M82" s="17"/>
      <c r="N82" s="17"/>
      <c r="O82" s="17"/>
      <c r="P82" s="30"/>
    </row>
    <row r="83" spans="1:16">
      <c r="A83" s="30"/>
      <c r="B83" s="36"/>
      <c r="C83" s="36"/>
      <c r="D83" s="36"/>
      <c r="E83" s="36"/>
      <c r="F83" s="36"/>
      <c r="G83" s="36"/>
      <c r="H83" s="38"/>
      <c r="I83" s="17"/>
      <c r="J83" s="17"/>
      <c r="K83" s="17"/>
      <c r="L83" s="17"/>
      <c r="M83" s="17"/>
      <c r="N83" s="17"/>
      <c r="O83" s="17"/>
      <c r="P83" s="30"/>
    </row>
    <row r="84" spans="1:16">
      <c r="A84" s="30"/>
      <c r="B84" s="36"/>
      <c r="C84" s="36"/>
      <c r="D84" s="36"/>
      <c r="E84" s="36"/>
      <c r="F84" s="36"/>
      <c r="G84" s="36"/>
      <c r="H84" s="38"/>
      <c r="I84" s="17"/>
      <c r="J84" s="17"/>
      <c r="K84" s="17"/>
      <c r="L84" s="17"/>
      <c r="M84" s="17"/>
      <c r="N84" s="17"/>
      <c r="O84" s="17"/>
      <c r="P84" s="30"/>
    </row>
    <row r="85" spans="1:16">
      <c r="A85" s="30"/>
      <c r="B85" s="36"/>
      <c r="C85" s="36"/>
      <c r="D85" s="36"/>
      <c r="E85" s="36"/>
      <c r="F85" s="36"/>
      <c r="G85" s="36"/>
      <c r="H85" s="38"/>
      <c r="I85" s="17"/>
      <c r="J85" s="17"/>
      <c r="K85" s="17"/>
      <c r="L85" s="17"/>
      <c r="M85" s="17"/>
      <c r="N85" s="17"/>
      <c r="O85" s="17"/>
      <c r="P85" s="30"/>
    </row>
    <row r="86" spans="1:16">
      <c r="A86" s="30"/>
      <c r="B86" s="36"/>
      <c r="C86" s="36"/>
      <c r="D86" s="36"/>
      <c r="E86" s="36"/>
      <c r="F86" s="36"/>
      <c r="G86" s="36"/>
      <c r="H86" s="38"/>
      <c r="I86" s="17"/>
      <c r="J86" s="17"/>
      <c r="K86" s="17"/>
      <c r="L86" s="17"/>
      <c r="M86" s="17"/>
      <c r="N86" s="17"/>
      <c r="O86" s="17"/>
      <c r="P86" s="30"/>
    </row>
  </sheetData>
  <mergeCells count="4">
    <mergeCell ref="A1:Q1"/>
    <mergeCell ref="A2:Q2"/>
    <mergeCell ref="F3:P3"/>
    <mergeCell ref="A3:C3"/>
  </mergeCells>
  <conditionalFormatting sqref="P5:P86">
    <cfRule type="expression" dxfId="80" priority="1">
      <formula>P5="OK"</formula>
    </cfRule>
    <cfRule type="expression" dxfId="79" priority="2">
      <formula>LEFT(P5,8)="Требует"</formula>
    </cfRule>
    <cfRule type="expression" dxfId="78" priority="3">
      <formula>P5="Недопустимое назначение"</formula>
    </cfRule>
  </conditionalFormatting>
  <dataValidations count="1">
    <dataValidation type="list" sqref="O5:O86" xr:uid="{00000000-0002-0000-0500-000001000000}">
      <formula1>"Активно,Неактивно"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Z84"/>
  <sheetViews>
    <sheetView topLeftCell="K1" zoomScaleNormal="100" workbookViewId="0">
      <pane ySplit="1" topLeftCell="A3" activePane="bottomLeft" state="frozen"/>
      <selection pane="bottomLeft" activeCell="T25" sqref="K25:T26"/>
    </sheetView>
  </sheetViews>
  <sheetFormatPr defaultColWidth="8.69921875" defaultRowHeight="13.8"/>
  <cols>
    <col min="1" max="1" width="10.69921875" style="12" customWidth="1"/>
    <col min="2" max="2" width="19" style="12" customWidth="1"/>
    <col min="3" max="3" width="11.5" style="12" customWidth="1"/>
    <col min="4" max="4" width="21.5" style="12" customWidth="1"/>
    <col min="5" max="5" width="23.09765625" style="12" customWidth="1"/>
    <col min="6" max="6" width="32.5" style="12" customWidth="1"/>
    <col min="7" max="7" width="14.69921875" style="12" customWidth="1"/>
    <col min="8" max="8" width="15.8984375" style="12" customWidth="1"/>
    <col min="9" max="9" width="16.59765625" style="12" customWidth="1"/>
    <col min="10" max="10" width="28" style="12" customWidth="1"/>
    <col min="11" max="11" width="26.69921875" style="12" customWidth="1"/>
    <col min="12" max="12" width="28" style="12" customWidth="1"/>
    <col min="13" max="13" width="30.3984375" style="12" customWidth="1"/>
    <col min="14" max="14" width="10.69921875" style="12" bestFit="1" customWidth="1"/>
    <col min="15" max="15" width="22" style="12" customWidth="1"/>
    <col min="16" max="16" width="17.19921875" style="12" customWidth="1"/>
    <col min="17" max="17" width="22.5" style="12" customWidth="1"/>
    <col min="18" max="18" width="23.3984375" style="12" customWidth="1"/>
    <col min="19" max="19" width="17.19921875" style="12" customWidth="1"/>
    <col min="20" max="20" width="26.3984375" style="12" customWidth="1"/>
    <col min="21" max="21" width="21.69921875" style="12" customWidth="1"/>
    <col min="22" max="22" width="25.69921875" style="12" customWidth="1"/>
    <col min="23" max="25" width="17.19921875" style="12" customWidth="1"/>
    <col min="26" max="26" width="35.69921875" style="12" customWidth="1"/>
    <col min="27" max="16384" width="8.69921875" style="12"/>
  </cols>
  <sheetData>
    <row r="1" spans="1:26" ht="22.35" customHeight="1">
      <c r="A1" s="126" t="s">
        <v>6</v>
      </c>
      <c r="B1" s="126"/>
      <c r="C1" s="126"/>
      <c r="D1" s="127"/>
      <c r="E1" s="127"/>
      <c r="F1" s="127"/>
      <c r="G1" s="127"/>
      <c r="H1" s="127"/>
      <c r="I1" s="127"/>
      <c r="J1" s="126"/>
      <c r="K1" s="126"/>
      <c r="L1" s="126"/>
      <c r="M1" s="126"/>
      <c r="N1" s="126"/>
      <c r="O1" s="126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28.9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s="104" customFormat="1" ht="28.95" customHeight="1">
      <c r="A3" s="123" t="s">
        <v>365</v>
      </c>
      <c r="B3" s="124"/>
      <c r="C3" s="124"/>
      <c r="D3" s="124"/>
      <c r="E3" s="124"/>
      <c r="F3" s="124"/>
      <c r="G3" s="124"/>
      <c r="H3" s="125"/>
      <c r="I3" s="128" t="s">
        <v>431</v>
      </c>
      <c r="J3" s="129"/>
      <c r="K3" s="129"/>
      <c r="L3" s="129"/>
      <c r="M3" s="130"/>
      <c r="N3" s="131" t="s">
        <v>432</v>
      </c>
      <c r="O3" s="132"/>
      <c r="P3" s="132"/>
      <c r="Q3" s="132"/>
      <c r="R3" s="132"/>
      <c r="S3" s="132"/>
      <c r="T3" s="132"/>
      <c r="U3" s="133"/>
      <c r="V3" s="120" t="s">
        <v>433</v>
      </c>
      <c r="W3" s="121"/>
      <c r="X3" s="121"/>
      <c r="Y3" s="121"/>
      <c r="Z3" s="122"/>
    </row>
    <row r="4" spans="1:26" ht="64.95" customHeight="1">
      <c r="A4" s="74" t="s">
        <v>22</v>
      </c>
      <c r="B4" s="75" t="s">
        <v>28</v>
      </c>
      <c r="C4" s="75" t="s">
        <v>96</v>
      </c>
      <c r="D4" s="75" t="s">
        <v>366</v>
      </c>
      <c r="E4" s="75" t="s">
        <v>64</v>
      </c>
      <c r="F4" s="75" t="s">
        <v>367</v>
      </c>
      <c r="G4" s="75" t="s">
        <v>368</v>
      </c>
      <c r="H4" s="76" t="s">
        <v>185</v>
      </c>
      <c r="I4" s="69" t="s">
        <v>351</v>
      </c>
      <c r="J4" s="70" t="s">
        <v>98</v>
      </c>
      <c r="K4" s="70" t="s">
        <v>99</v>
      </c>
      <c r="L4" s="70" t="s">
        <v>100</v>
      </c>
      <c r="M4" s="71" t="s">
        <v>336</v>
      </c>
      <c r="N4" s="68" t="s">
        <v>354</v>
      </c>
      <c r="O4" s="44" t="s">
        <v>355</v>
      </c>
      <c r="P4" s="44" t="s">
        <v>356</v>
      </c>
      <c r="Q4" s="44" t="s">
        <v>369</v>
      </c>
      <c r="R4" s="44" t="s">
        <v>372</v>
      </c>
      <c r="S4" s="44" t="s">
        <v>398</v>
      </c>
      <c r="T4" s="44" t="s">
        <v>399</v>
      </c>
      <c r="U4" s="46" t="s">
        <v>400</v>
      </c>
      <c r="V4" s="45" t="s">
        <v>103</v>
      </c>
      <c r="W4" s="42" t="s">
        <v>104</v>
      </c>
      <c r="X4" s="42" t="s">
        <v>105</v>
      </c>
      <c r="Y4" s="42" t="s">
        <v>106</v>
      </c>
      <c r="Z4" s="62" t="s">
        <v>107</v>
      </c>
    </row>
    <row r="5" spans="1:26" ht="27.6">
      <c r="A5" s="47" t="s">
        <v>23</v>
      </c>
      <c r="B5" s="29" t="s">
        <v>29</v>
      </c>
      <c r="C5" s="29" t="s">
        <v>49</v>
      </c>
      <c r="D5" s="41" t="s">
        <v>68</v>
      </c>
      <c r="E5" s="41" t="s">
        <v>69</v>
      </c>
      <c r="F5" s="41" t="s">
        <v>70</v>
      </c>
      <c r="G5" s="41" t="s">
        <v>191</v>
      </c>
      <c r="H5" s="48" t="s">
        <v>192</v>
      </c>
      <c r="I5" s="47" t="s">
        <v>193</v>
      </c>
      <c r="J5" s="29" t="s">
        <v>114</v>
      </c>
      <c r="K5" s="29" t="s">
        <v>115</v>
      </c>
      <c r="L5" s="29" t="s">
        <v>116</v>
      </c>
      <c r="M5" s="48" t="s">
        <v>117</v>
      </c>
      <c r="N5" s="47" t="s">
        <v>49</v>
      </c>
      <c r="O5" s="29" t="s">
        <v>68</v>
      </c>
      <c r="P5" s="29" t="s">
        <v>69</v>
      </c>
      <c r="Q5" s="29" t="s">
        <v>109</v>
      </c>
      <c r="R5" s="29" t="s">
        <v>110</v>
      </c>
      <c r="S5" s="29" t="s">
        <v>111</v>
      </c>
      <c r="T5" s="29" t="s">
        <v>112</v>
      </c>
      <c r="U5" s="48" t="s">
        <v>113</v>
      </c>
      <c r="V5" s="47" t="s">
        <v>114</v>
      </c>
      <c r="W5" s="29" t="s">
        <v>120</v>
      </c>
      <c r="X5" s="29" t="s">
        <v>309</v>
      </c>
      <c r="Y5" s="29" t="s">
        <v>122</v>
      </c>
      <c r="Z5" s="48" t="s">
        <v>123</v>
      </c>
    </row>
    <row r="6" spans="1:26" s="107" customFormat="1" ht="27.6">
      <c r="A6" s="29" t="s">
        <v>23</v>
      </c>
      <c r="B6" s="29" t="s">
        <v>29</v>
      </c>
      <c r="C6" s="29" t="s">
        <v>49</v>
      </c>
      <c r="D6" s="29" t="s">
        <v>68</v>
      </c>
      <c r="E6" s="29" t="s">
        <v>69</v>
      </c>
      <c r="F6" s="29" t="s">
        <v>70</v>
      </c>
      <c r="G6" s="29" t="s">
        <v>191</v>
      </c>
      <c r="H6" s="29" t="s">
        <v>192</v>
      </c>
      <c r="I6" s="29" t="s">
        <v>193</v>
      </c>
      <c r="J6" s="29" t="s">
        <v>130</v>
      </c>
      <c r="K6" s="29" t="s">
        <v>131</v>
      </c>
      <c r="L6" s="29" t="s">
        <v>132</v>
      </c>
      <c r="M6" s="29" t="s">
        <v>133</v>
      </c>
      <c r="N6" s="29" t="s">
        <v>49</v>
      </c>
      <c r="O6" s="29" t="s">
        <v>68</v>
      </c>
      <c r="P6" s="29" t="s">
        <v>69</v>
      </c>
      <c r="Q6" s="29" t="s">
        <v>125</v>
      </c>
      <c r="R6" s="29" t="s">
        <v>126</v>
      </c>
      <c r="S6" s="29" t="s">
        <v>127</v>
      </c>
      <c r="T6" s="29" t="s">
        <v>128</v>
      </c>
      <c r="U6" s="29" t="s">
        <v>129</v>
      </c>
      <c r="V6" s="29" t="s">
        <v>134</v>
      </c>
      <c r="W6" s="29" t="s">
        <v>135</v>
      </c>
      <c r="X6" s="29" t="s">
        <v>82</v>
      </c>
      <c r="Y6" s="29" t="s">
        <v>122</v>
      </c>
      <c r="Z6" s="29" t="s">
        <v>136</v>
      </c>
    </row>
    <row r="7" spans="1:26" ht="27.6">
      <c r="A7" s="47" t="s">
        <v>23</v>
      </c>
      <c r="B7" s="29" t="s">
        <v>29</v>
      </c>
      <c r="C7" s="29" t="s">
        <v>54</v>
      </c>
      <c r="D7" s="41" t="s">
        <v>75</v>
      </c>
      <c r="E7" s="41" t="s">
        <v>76</v>
      </c>
      <c r="F7" s="41" t="s">
        <v>77</v>
      </c>
      <c r="G7" s="41" t="s">
        <v>197</v>
      </c>
      <c r="H7" s="48" t="s">
        <v>198</v>
      </c>
      <c r="I7" s="47" t="s">
        <v>76</v>
      </c>
      <c r="J7" s="29" t="s">
        <v>141</v>
      </c>
      <c r="K7" s="29" t="s">
        <v>142</v>
      </c>
      <c r="L7" s="29" t="s">
        <v>143</v>
      </c>
      <c r="M7" s="48" t="s">
        <v>144</v>
      </c>
      <c r="N7" s="47" t="s">
        <v>54</v>
      </c>
      <c r="O7" s="29" t="s">
        <v>75</v>
      </c>
      <c r="P7" s="29" t="s">
        <v>76</v>
      </c>
      <c r="Q7" s="29" t="s">
        <v>137</v>
      </c>
      <c r="R7" s="29" t="s">
        <v>138</v>
      </c>
      <c r="S7" s="29" t="s">
        <v>127</v>
      </c>
      <c r="T7" s="29" t="s">
        <v>139</v>
      </c>
      <c r="U7" s="48" t="s">
        <v>140</v>
      </c>
      <c r="V7" s="47" t="s">
        <v>147</v>
      </c>
      <c r="W7" s="29" t="s">
        <v>135</v>
      </c>
      <c r="X7" s="29" t="s">
        <v>82</v>
      </c>
      <c r="Y7" s="29" t="s">
        <v>122</v>
      </c>
      <c r="Z7" s="48" t="s">
        <v>148</v>
      </c>
    </row>
    <row r="8" spans="1:26" ht="27.6">
      <c r="A8" s="47" t="s">
        <v>23</v>
      </c>
      <c r="B8" s="29" t="s">
        <v>29</v>
      </c>
      <c r="C8" s="29" t="s">
        <v>54</v>
      </c>
      <c r="D8" s="41" t="s">
        <v>79</v>
      </c>
      <c r="E8" s="41" t="s">
        <v>80</v>
      </c>
      <c r="F8" s="41" t="s">
        <v>81</v>
      </c>
      <c r="G8" s="41" t="s">
        <v>197</v>
      </c>
      <c r="H8" s="48" t="s">
        <v>198</v>
      </c>
      <c r="I8" s="47" t="s">
        <v>76</v>
      </c>
      <c r="J8" s="29" t="s">
        <v>152</v>
      </c>
      <c r="K8" s="29" t="s">
        <v>153</v>
      </c>
      <c r="L8" s="29" t="s">
        <v>143</v>
      </c>
      <c r="M8" s="48" t="s">
        <v>154</v>
      </c>
      <c r="N8" s="47" t="s">
        <v>54</v>
      </c>
      <c r="O8" s="29" t="s">
        <v>79</v>
      </c>
      <c r="P8" s="29" t="s">
        <v>80</v>
      </c>
      <c r="Q8" s="29" t="s">
        <v>149</v>
      </c>
      <c r="R8" s="29" t="s">
        <v>150</v>
      </c>
      <c r="S8" s="29" t="s">
        <v>111</v>
      </c>
      <c r="T8" s="29" t="s">
        <v>151</v>
      </c>
      <c r="U8" s="48" t="s">
        <v>140</v>
      </c>
      <c r="V8" s="47" t="s">
        <v>155</v>
      </c>
      <c r="W8" s="29" t="s">
        <v>120</v>
      </c>
      <c r="X8" s="29" t="s">
        <v>82</v>
      </c>
      <c r="Y8" s="29" t="s">
        <v>122</v>
      </c>
      <c r="Z8" s="48" t="s">
        <v>156</v>
      </c>
    </row>
    <row r="9" spans="1:26" ht="27.6">
      <c r="A9" s="47" t="s">
        <v>23</v>
      </c>
      <c r="B9" s="29" t="s">
        <v>29</v>
      </c>
      <c r="C9" s="29" t="s">
        <v>49</v>
      </c>
      <c r="D9" s="41" t="s">
        <v>83</v>
      </c>
      <c r="E9" s="41" t="s">
        <v>84</v>
      </c>
      <c r="F9" s="41" t="s">
        <v>85</v>
      </c>
      <c r="G9" s="41" t="s">
        <v>362</v>
      </c>
      <c r="H9" s="48" t="s">
        <v>361</v>
      </c>
      <c r="I9" s="47" t="s">
        <v>364</v>
      </c>
      <c r="J9" s="29" t="s">
        <v>161</v>
      </c>
      <c r="K9" s="29" t="s">
        <v>162</v>
      </c>
      <c r="L9" s="29" t="s">
        <v>159</v>
      </c>
      <c r="M9" s="48" t="s">
        <v>163</v>
      </c>
      <c r="N9" s="47" t="s">
        <v>49</v>
      </c>
      <c r="O9" s="29" t="s">
        <v>83</v>
      </c>
      <c r="P9" s="29" t="s">
        <v>84</v>
      </c>
      <c r="Q9" s="29" t="s">
        <v>157</v>
      </c>
      <c r="R9" s="29" t="s">
        <v>84</v>
      </c>
      <c r="S9" s="29" t="s">
        <v>158</v>
      </c>
      <c r="T9" s="29" t="s">
        <v>159</v>
      </c>
      <c r="U9" s="48" t="s">
        <v>160</v>
      </c>
      <c r="V9" s="47" t="s">
        <v>165</v>
      </c>
      <c r="W9" s="29" t="s">
        <v>120</v>
      </c>
      <c r="X9" s="29" t="s">
        <v>82</v>
      </c>
      <c r="Y9" s="29" t="s">
        <v>122</v>
      </c>
      <c r="Z9" s="48" t="s">
        <v>166</v>
      </c>
    </row>
    <row r="10" spans="1:26" ht="27.6">
      <c r="A10" s="47" t="s">
        <v>23</v>
      </c>
      <c r="B10" s="29" t="s">
        <v>29</v>
      </c>
      <c r="C10" s="29" t="s">
        <v>49</v>
      </c>
      <c r="D10" s="41" t="s">
        <v>86</v>
      </c>
      <c r="E10" s="41" t="s">
        <v>87</v>
      </c>
      <c r="F10" s="41" t="s">
        <v>88</v>
      </c>
      <c r="G10" s="41" t="s">
        <v>362</v>
      </c>
      <c r="H10" s="48" t="s">
        <v>361</v>
      </c>
      <c r="I10" s="47" t="s">
        <v>364</v>
      </c>
      <c r="J10" s="29" t="s">
        <v>169</v>
      </c>
      <c r="K10" s="29" t="s">
        <v>170</v>
      </c>
      <c r="L10" s="29" t="s">
        <v>159</v>
      </c>
      <c r="M10" s="48" t="s">
        <v>171</v>
      </c>
      <c r="N10" s="47" t="s">
        <v>49</v>
      </c>
      <c r="O10" s="29" t="s">
        <v>86</v>
      </c>
      <c r="P10" s="29" t="s">
        <v>87</v>
      </c>
      <c r="Q10" s="29" t="s">
        <v>167</v>
      </c>
      <c r="R10" s="29" t="s">
        <v>87</v>
      </c>
      <c r="S10" s="29" t="s">
        <v>168</v>
      </c>
      <c r="T10" s="29" t="s">
        <v>159</v>
      </c>
      <c r="U10" s="48" t="s">
        <v>160</v>
      </c>
      <c r="V10" s="47" t="s">
        <v>172</v>
      </c>
      <c r="W10" s="29" t="s">
        <v>173</v>
      </c>
      <c r="X10" s="29" t="s">
        <v>82</v>
      </c>
      <c r="Y10" s="29" t="s">
        <v>122</v>
      </c>
      <c r="Z10" s="48" t="s">
        <v>174</v>
      </c>
    </row>
    <row r="11" spans="1:26" ht="41.4">
      <c r="A11" s="47" t="s">
        <v>23</v>
      </c>
      <c r="B11" s="29" t="s">
        <v>29</v>
      </c>
      <c r="C11" s="29" t="s">
        <v>58</v>
      </c>
      <c r="D11" s="41" t="s">
        <v>89</v>
      </c>
      <c r="E11" s="41" t="s">
        <v>90</v>
      </c>
      <c r="F11" s="41" t="s">
        <v>91</v>
      </c>
      <c r="G11" s="41" t="s">
        <v>200</v>
      </c>
      <c r="H11" s="48" t="s">
        <v>121</v>
      </c>
      <c r="I11" s="47" t="s">
        <v>201</v>
      </c>
      <c r="J11" s="29" t="s">
        <v>114</v>
      </c>
      <c r="K11" s="29" t="s">
        <v>115</v>
      </c>
      <c r="L11" s="29" t="s">
        <v>116</v>
      </c>
      <c r="M11" s="48" t="s">
        <v>176</v>
      </c>
      <c r="N11" s="47" t="s">
        <v>58</v>
      </c>
      <c r="O11" s="29" t="s">
        <v>89</v>
      </c>
      <c r="P11" s="29" t="s">
        <v>90</v>
      </c>
      <c r="Q11" s="29" t="s">
        <v>109</v>
      </c>
      <c r="R11" s="29" t="s">
        <v>110</v>
      </c>
      <c r="S11" s="29" t="s">
        <v>111</v>
      </c>
      <c r="T11" s="29" t="s">
        <v>112</v>
      </c>
      <c r="U11" s="48" t="s">
        <v>175</v>
      </c>
      <c r="V11" s="47" t="s">
        <v>114</v>
      </c>
      <c r="W11" s="29" t="s">
        <v>120</v>
      </c>
      <c r="X11" s="29" t="s">
        <v>121</v>
      </c>
      <c r="Y11" s="29" t="s">
        <v>122</v>
      </c>
      <c r="Z11" s="48" t="s">
        <v>177</v>
      </c>
    </row>
    <row r="12" spans="1:26" ht="27.6">
      <c r="A12" s="47" t="s">
        <v>23</v>
      </c>
      <c r="B12" s="29" t="s">
        <v>29</v>
      </c>
      <c r="C12" s="29" t="s">
        <v>49</v>
      </c>
      <c r="D12" s="41" t="s">
        <v>92</v>
      </c>
      <c r="E12" s="41" t="s">
        <v>93</v>
      </c>
      <c r="F12" s="41" t="s">
        <v>94</v>
      </c>
      <c r="G12" s="41" t="s">
        <v>200</v>
      </c>
      <c r="H12" s="48" t="s">
        <v>121</v>
      </c>
      <c r="I12" s="47" t="s">
        <v>201</v>
      </c>
      <c r="J12" s="29" t="s">
        <v>130</v>
      </c>
      <c r="K12" s="29" t="s">
        <v>179</v>
      </c>
      <c r="L12" s="29" t="s">
        <v>132</v>
      </c>
      <c r="M12" s="48" t="s">
        <v>133</v>
      </c>
      <c r="N12" s="47" t="s">
        <v>49</v>
      </c>
      <c r="O12" s="29" t="s">
        <v>92</v>
      </c>
      <c r="P12" s="29" t="s">
        <v>93</v>
      </c>
      <c r="Q12" s="29" t="s">
        <v>125</v>
      </c>
      <c r="R12" s="29" t="s">
        <v>126</v>
      </c>
      <c r="S12" s="29" t="s">
        <v>127</v>
      </c>
      <c r="T12" s="29" t="s">
        <v>128</v>
      </c>
      <c r="U12" s="48" t="s">
        <v>129</v>
      </c>
      <c r="V12" s="47" t="s">
        <v>134</v>
      </c>
      <c r="W12" s="29" t="s">
        <v>135</v>
      </c>
      <c r="X12" s="29" t="s">
        <v>82</v>
      </c>
      <c r="Y12" s="29" t="s">
        <v>122</v>
      </c>
      <c r="Z12" s="48" t="s">
        <v>180</v>
      </c>
    </row>
    <row r="13" spans="1:26">
      <c r="A13" s="72" t="str">
        <f>IFERROR(VLOOKUP(#REF!,#REF!,3,FALSE),"")</f>
        <v/>
      </c>
      <c r="B13" s="36" t="str">
        <f>IFERROR(VLOOKUP(#REF!,#REF!,4,FALSE),"")</f>
        <v/>
      </c>
      <c r="C13" s="36" t="str">
        <f>IFERROR(VLOOKUP(#REF!,#REF!,5,FALSE),"")</f>
        <v/>
      </c>
      <c r="D13" s="36"/>
      <c r="E13" s="36"/>
      <c r="F13" s="36"/>
      <c r="G13" s="36"/>
      <c r="H13" s="77"/>
      <c r="I13" s="72"/>
      <c r="J13" s="18"/>
      <c r="K13" s="18"/>
      <c r="L13" s="18"/>
      <c r="M13" s="64"/>
      <c r="N13" s="63"/>
      <c r="O13" s="18"/>
      <c r="P13" s="18"/>
      <c r="Q13" s="18"/>
      <c r="R13" s="18"/>
      <c r="S13" s="18"/>
      <c r="T13" s="18"/>
      <c r="U13" s="64"/>
      <c r="V13" s="63"/>
      <c r="W13" s="18"/>
      <c r="X13" s="18"/>
      <c r="Y13" s="18"/>
      <c r="Z13" s="64"/>
    </row>
    <row r="14" spans="1:26">
      <c r="A14" s="72" t="str">
        <f>IFERROR(VLOOKUP(#REF!,#REF!,3,FALSE),"")</f>
        <v/>
      </c>
      <c r="B14" s="36" t="str">
        <f>IFERROR(VLOOKUP(#REF!,#REF!,4,FALSE),"")</f>
        <v/>
      </c>
      <c r="C14" s="36" t="str">
        <f>IFERROR(VLOOKUP(#REF!,#REF!,5,FALSE),"")</f>
        <v/>
      </c>
      <c r="D14" s="36"/>
      <c r="E14" s="36"/>
      <c r="F14" s="36"/>
      <c r="G14" s="36"/>
      <c r="H14" s="77"/>
      <c r="I14" s="72"/>
      <c r="J14" s="18"/>
      <c r="K14" s="18"/>
      <c r="L14" s="18"/>
      <c r="M14" s="64"/>
      <c r="N14" s="63"/>
      <c r="O14" s="18"/>
      <c r="P14" s="18"/>
      <c r="Q14" s="18"/>
      <c r="R14" s="18"/>
      <c r="S14" s="18"/>
      <c r="T14" s="18"/>
      <c r="U14" s="64"/>
      <c r="V14" s="63"/>
      <c r="W14" s="18"/>
      <c r="X14" s="18"/>
      <c r="Y14" s="18"/>
      <c r="Z14" s="64"/>
    </row>
    <row r="15" spans="1:26">
      <c r="A15" s="72" t="str">
        <f>IFERROR(VLOOKUP(#REF!,#REF!,3,FALSE),"")</f>
        <v/>
      </c>
      <c r="B15" s="36" t="str">
        <f>IFERROR(VLOOKUP(#REF!,#REF!,4,FALSE),"")</f>
        <v/>
      </c>
      <c r="C15" s="36" t="str">
        <f>IFERROR(VLOOKUP(#REF!,#REF!,5,FALSE),"")</f>
        <v/>
      </c>
      <c r="D15" s="36"/>
      <c r="E15" s="36"/>
      <c r="F15" s="36"/>
      <c r="G15" s="36"/>
      <c r="H15" s="77"/>
      <c r="I15" s="72"/>
      <c r="J15" s="18"/>
      <c r="K15" s="18"/>
      <c r="L15" s="18"/>
      <c r="M15" s="64"/>
      <c r="N15" s="63"/>
      <c r="O15" s="18"/>
      <c r="P15" s="18"/>
      <c r="Q15" s="18"/>
      <c r="R15" s="18"/>
      <c r="S15" s="18"/>
      <c r="T15" s="18"/>
      <c r="U15" s="64"/>
      <c r="V15" s="63"/>
      <c r="W15" s="18"/>
      <c r="X15" s="18"/>
      <c r="Y15" s="18"/>
      <c r="Z15" s="64"/>
    </row>
    <row r="16" spans="1:26">
      <c r="A16" s="72" t="str">
        <f>IFERROR(VLOOKUP(#REF!,#REF!,3,FALSE),"")</f>
        <v/>
      </c>
      <c r="B16" s="36" t="str">
        <f>IFERROR(VLOOKUP(#REF!,#REF!,4,FALSE),"")</f>
        <v/>
      </c>
      <c r="C16" s="36" t="str">
        <f>IFERROR(VLOOKUP(#REF!,#REF!,5,FALSE),"")</f>
        <v/>
      </c>
      <c r="D16" s="36"/>
      <c r="E16" s="36"/>
      <c r="F16" s="36"/>
      <c r="G16" s="36"/>
      <c r="H16" s="77"/>
      <c r="I16" s="72"/>
      <c r="J16" s="18"/>
      <c r="K16" s="18"/>
      <c r="L16" s="18"/>
      <c r="M16" s="64"/>
      <c r="N16" s="63"/>
      <c r="O16" s="18"/>
      <c r="P16" s="18"/>
      <c r="Q16" s="18"/>
      <c r="R16" s="18"/>
      <c r="S16" s="18"/>
      <c r="T16" s="18"/>
      <c r="U16" s="64"/>
      <c r="V16" s="63"/>
      <c r="W16" s="18"/>
      <c r="X16" s="18"/>
      <c r="Y16" s="18"/>
      <c r="Z16" s="64"/>
    </row>
    <row r="17" spans="1:26">
      <c r="A17" s="72" t="str">
        <f>IFERROR(VLOOKUP(#REF!,#REF!,3,FALSE),"")</f>
        <v/>
      </c>
      <c r="B17" s="36" t="str">
        <f>IFERROR(VLOOKUP(#REF!,#REF!,4,FALSE),"")</f>
        <v/>
      </c>
      <c r="C17" s="36" t="str">
        <f>IFERROR(VLOOKUP(#REF!,#REF!,5,FALSE),"")</f>
        <v/>
      </c>
      <c r="D17" s="36"/>
      <c r="E17" s="36"/>
      <c r="F17" s="36"/>
      <c r="G17" s="36"/>
      <c r="H17" s="77"/>
      <c r="I17" s="72"/>
      <c r="J17" s="18"/>
      <c r="K17" s="18"/>
      <c r="L17" s="18"/>
      <c r="M17" s="64"/>
      <c r="N17" s="63"/>
      <c r="O17" s="18"/>
      <c r="P17" s="18"/>
      <c r="Q17" s="18"/>
      <c r="R17" s="18"/>
      <c r="S17" s="18"/>
      <c r="T17" s="18"/>
      <c r="U17" s="64"/>
      <c r="V17" s="63"/>
      <c r="W17" s="18"/>
      <c r="X17" s="18"/>
      <c r="Y17" s="18"/>
      <c r="Z17" s="64"/>
    </row>
    <row r="18" spans="1:26">
      <c r="A18" s="72" t="str">
        <f>IFERROR(VLOOKUP(#REF!,#REF!,3,FALSE),"")</f>
        <v/>
      </c>
      <c r="B18" s="36" t="str">
        <f>IFERROR(VLOOKUP(#REF!,#REF!,4,FALSE),"")</f>
        <v/>
      </c>
      <c r="C18" s="36" t="str">
        <f>IFERROR(VLOOKUP(#REF!,#REF!,5,FALSE),"")</f>
        <v/>
      </c>
      <c r="D18" s="36"/>
      <c r="E18" s="36"/>
      <c r="F18" s="36"/>
      <c r="G18" s="36"/>
      <c r="H18" s="77"/>
      <c r="I18" s="72"/>
      <c r="J18" s="18"/>
      <c r="K18" s="18"/>
      <c r="L18" s="18"/>
      <c r="M18" s="64"/>
      <c r="N18" s="63"/>
      <c r="O18" s="18"/>
      <c r="P18" s="18"/>
      <c r="Q18" s="18"/>
      <c r="R18" s="18"/>
      <c r="S18" s="18"/>
      <c r="T18" s="18"/>
      <c r="U18" s="64"/>
      <c r="V18" s="63"/>
      <c r="W18" s="18"/>
      <c r="X18" s="18"/>
      <c r="Y18" s="18"/>
      <c r="Z18" s="64"/>
    </row>
    <row r="19" spans="1:26">
      <c r="A19" s="72" t="str">
        <f>IFERROR(VLOOKUP(#REF!,#REF!,3,FALSE),"")</f>
        <v/>
      </c>
      <c r="B19" s="36" t="str">
        <f>IFERROR(VLOOKUP(#REF!,#REF!,4,FALSE),"")</f>
        <v/>
      </c>
      <c r="C19" s="36" t="str">
        <f>IFERROR(VLOOKUP(#REF!,#REF!,5,FALSE),"")</f>
        <v/>
      </c>
      <c r="D19" s="36"/>
      <c r="E19" s="36"/>
      <c r="F19" s="36"/>
      <c r="G19" s="36"/>
      <c r="H19" s="77"/>
      <c r="I19" s="72"/>
      <c r="J19" s="18"/>
      <c r="K19" s="18"/>
      <c r="L19" s="18"/>
      <c r="M19" s="64"/>
      <c r="N19" s="63"/>
      <c r="O19" s="18"/>
      <c r="P19" s="18"/>
      <c r="Q19" s="18"/>
      <c r="R19" s="18"/>
      <c r="S19" s="18"/>
      <c r="T19" s="18"/>
      <c r="U19" s="64"/>
      <c r="V19" s="63"/>
      <c r="W19" s="18"/>
      <c r="X19" s="18"/>
      <c r="Y19" s="18"/>
      <c r="Z19" s="64"/>
    </row>
    <row r="20" spans="1:26">
      <c r="A20" s="72" t="str">
        <f>IFERROR(VLOOKUP(#REF!,#REF!,3,FALSE),"")</f>
        <v/>
      </c>
      <c r="B20" s="36" t="str">
        <f>IFERROR(VLOOKUP(#REF!,#REF!,4,FALSE),"")</f>
        <v/>
      </c>
      <c r="C20" s="36" t="str">
        <f>IFERROR(VLOOKUP(#REF!,#REF!,5,FALSE),"")</f>
        <v/>
      </c>
      <c r="D20" s="36"/>
      <c r="E20" s="36"/>
      <c r="F20" s="36"/>
      <c r="G20" s="36"/>
      <c r="H20" s="77"/>
      <c r="I20" s="72"/>
      <c r="J20" s="18"/>
      <c r="K20" s="18"/>
      <c r="L20" s="18"/>
      <c r="M20" s="64"/>
      <c r="N20" s="63"/>
      <c r="O20" s="18"/>
      <c r="P20" s="18"/>
      <c r="Q20" s="18"/>
      <c r="R20" s="18"/>
      <c r="S20" s="18"/>
      <c r="T20" s="18"/>
      <c r="U20" s="64"/>
      <c r="V20" s="63"/>
      <c r="W20" s="18"/>
      <c r="X20" s="18"/>
      <c r="Y20" s="18"/>
      <c r="Z20" s="64"/>
    </row>
    <row r="21" spans="1:26">
      <c r="A21" s="72" t="str">
        <f>IFERROR(VLOOKUP(#REF!,#REF!,3,FALSE),"")</f>
        <v/>
      </c>
      <c r="B21" s="36" t="str">
        <f>IFERROR(VLOOKUP(#REF!,#REF!,4,FALSE),"")</f>
        <v/>
      </c>
      <c r="C21" s="36" t="str">
        <f>IFERROR(VLOOKUP(#REF!,#REF!,5,FALSE),"")</f>
        <v/>
      </c>
      <c r="D21" s="36"/>
      <c r="E21" s="36"/>
      <c r="F21" s="36"/>
      <c r="G21" s="36"/>
      <c r="H21" s="77"/>
      <c r="I21" s="72"/>
      <c r="J21" s="18"/>
      <c r="K21" s="18"/>
      <c r="L21" s="18"/>
      <c r="M21" s="64"/>
      <c r="N21" s="63"/>
      <c r="O21" s="18"/>
      <c r="P21" s="18"/>
      <c r="Q21" s="18"/>
      <c r="R21" s="18"/>
      <c r="S21" s="18"/>
      <c r="T21" s="18"/>
      <c r="U21" s="64"/>
      <c r="V21" s="63"/>
      <c r="W21" s="18"/>
      <c r="X21" s="18"/>
      <c r="Y21" s="18"/>
      <c r="Z21" s="64"/>
    </row>
    <row r="22" spans="1:26">
      <c r="A22" s="72" t="str">
        <f>IFERROR(VLOOKUP(#REF!,#REF!,3,FALSE),"")</f>
        <v/>
      </c>
      <c r="B22" s="36" t="str">
        <f>IFERROR(VLOOKUP(#REF!,#REF!,4,FALSE),"")</f>
        <v/>
      </c>
      <c r="C22" s="36" t="str">
        <f>IFERROR(VLOOKUP(#REF!,#REF!,5,FALSE),"")</f>
        <v/>
      </c>
      <c r="D22" s="36"/>
      <c r="E22" s="36"/>
      <c r="F22" s="36"/>
      <c r="G22" s="36"/>
      <c r="H22" s="77"/>
      <c r="I22" s="72"/>
      <c r="J22" s="18"/>
      <c r="K22" s="18"/>
      <c r="L22" s="18"/>
      <c r="M22" s="64"/>
      <c r="N22" s="63"/>
      <c r="O22" s="18"/>
      <c r="P22" s="18"/>
      <c r="Q22" s="18"/>
      <c r="R22" s="18"/>
      <c r="S22" s="18"/>
      <c r="T22" s="18"/>
      <c r="U22" s="64"/>
      <c r="V22" s="63"/>
      <c r="W22" s="18"/>
      <c r="X22" s="18"/>
      <c r="Y22" s="18"/>
      <c r="Z22" s="64"/>
    </row>
    <row r="23" spans="1:26">
      <c r="A23" s="72" t="str">
        <f>IFERROR(VLOOKUP(#REF!,#REF!,3,FALSE),"")</f>
        <v/>
      </c>
      <c r="B23" s="36" t="str">
        <f>IFERROR(VLOOKUP(#REF!,#REF!,4,FALSE),"")</f>
        <v/>
      </c>
      <c r="C23" s="36" t="str">
        <f>IFERROR(VLOOKUP(#REF!,#REF!,5,FALSE),"")</f>
        <v/>
      </c>
      <c r="D23" s="36"/>
      <c r="E23" s="36"/>
      <c r="F23" s="36"/>
      <c r="G23" s="36"/>
      <c r="H23" s="77"/>
      <c r="I23" s="72"/>
      <c r="J23" s="18"/>
      <c r="K23" s="18"/>
      <c r="L23" s="18"/>
      <c r="M23" s="64"/>
      <c r="N23" s="63"/>
      <c r="O23" s="18"/>
      <c r="P23" s="18"/>
      <c r="Q23" s="18"/>
      <c r="R23" s="18"/>
      <c r="S23" s="18"/>
      <c r="T23" s="18"/>
      <c r="U23" s="64"/>
      <c r="V23" s="63"/>
      <c r="W23" s="18"/>
      <c r="X23" s="18"/>
      <c r="Y23" s="18"/>
      <c r="Z23" s="64"/>
    </row>
    <row r="24" spans="1:26">
      <c r="A24" s="72" t="str">
        <f>IFERROR(VLOOKUP(#REF!,#REF!,3,FALSE),"")</f>
        <v/>
      </c>
      <c r="B24" s="36" t="str">
        <f>IFERROR(VLOOKUP(#REF!,#REF!,4,FALSE),"")</f>
        <v/>
      </c>
      <c r="C24" s="36" t="str">
        <f>IFERROR(VLOOKUP(#REF!,#REF!,5,FALSE),"")</f>
        <v/>
      </c>
      <c r="D24" s="36"/>
      <c r="E24" s="36"/>
      <c r="F24" s="36"/>
      <c r="G24" s="36"/>
      <c r="H24" s="77"/>
      <c r="I24" s="72"/>
      <c r="J24" s="18"/>
      <c r="K24" s="18"/>
      <c r="L24" s="18"/>
      <c r="M24" s="64"/>
      <c r="N24" s="63"/>
      <c r="O24" s="18"/>
      <c r="P24" s="18"/>
      <c r="Q24" s="18"/>
      <c r="R24" s="18"/>
      <c r="S24" s="18"/>
      <c r="T24" s="18"/>
      <c r="U24" s="64"/>
      <c r="V24" s="63"/>
      <c r="W24" s="18"/>
      <c r="X24" s="18"/>
      <c r="Y24" s="18"/>
      <c r="Z24" s="64"/>
    </row>
    <row r="25" spans="1:26">
      <c r="A25" s="72" t="str">
        <f>IFERROR(VLOOKUP(#REF!,#REF!,3,FALSE),"")</f>
        <v/>
      </c>
      <c r="B25" s="36" t="str">
        <f>IFERROR(VLOOKUP(#REF!,#REF!,4,FALSE),"")</f>
        <v/>
      </c>
      <c r="C25" s="36" t="str">
        <f>IFERROR(VLOOKUP(#REF!,#REF!,5,FALSE),"")</f>
        <v/>
      </c>
      <c r="D25" s="36"/>
      <c r="E25" s="36"/>
      <c r="F25" s="36"/>
      <c r="G25" s="36"/>
      <c r="H25" s="77"/>
      <c r="I25" s="72"/>
      <c r="J25" s="18"/>
      <c r="K25" s="18"/>
      <c r="L25" s="18"/>
      <c r="M25" s="64"/>
      <c r="N25" s="63"/>
      <c r="O25" s="18"/>
      <c r="P25" s="18"/>
      <c r="Q25" s="18"/>
      <c r="R25" s="18"/>
      <c r="S25" s="18"/>
      <c r="T25" s="18"/>
      <c r="U25" s="64"/>
      <c r="V25" s="63"/>
      <c r="W25" s="18"/>
      <c r="X25" s="18"/>
      <c r="Y25" s="18"/>
      <c r="Z25" s="64"/>
    </row>
    <row r="26" spans="1:26">
      <c r="A26" s="72" t="str">
        <f>IFERROR(VLOOKUP(#REF!,#REF!,3,FALSE),"")</f>
        <v/>
      </c>
      <c r="B26" s="36" t="str">
        <f>IFERROR(VLOOKUP(#REF!,#REF!,4,FALSE),"")</f>
        <v/>
      </c>
      <c r="C26" s="36" t="str">
        <f>IFERROR(VLOOKUP(#REF!,#REF!,5,FALSE),"")</f>
        <v/>
      </c>
      <c r="D26" s="36"/>
      <c r="E26" s="36"/>
      <c r="F26" s="36"/>
      <c r="G26" s="36"/>
      <c r="H26" s="77"/>
      <c r="I26" s="72"/>
      <c r="J26" s="18"/>
      <c r="K26" s="18"/>
      <c r="L26" s="18"/>
      <c r="M26" s="64"/>
      <c r="N26" s="63"/>
      <c r="O26" s="18"/>
      <c r="P26" s="18"/>
      <c r="Q26" s="18"/>
      <c r="R26" s="18"/>
      <c r="S26" s="18"/>
      <c r="T26" s="18"/>
      <c r="U26" s="64"/>
      <c r="V26" s="63"/>
      <c r="W26" s="18"/>
      <c r="X26" s="18"/>
      <c r="Y26" s="18"/>
      <c r="Z26" s="64"/>
    </row>
    <row r="27" spans="1:26">
      <c r="A27" s="72" t="str">
        <f>IFERROR(VLOOKUP(#REF!,#REF!,3,FALSE),"")</f>
        <v/>
      </c>
      <c r="B27" s="36" t="str">
        <f>IFERROR(VLOOKUP(#REF!,#REF!,4,FALSE),"")</f>
        <v/>
      </c>
      <c r="C27" s="36" t="str">
        <f>IFERROR(VLOOKUP(#REF!,#REF!,5,FALSE),"")</f>
        <v/>
      </c>
      <c r="D27" s="36"/>
      <c r="E27" s="36"/>
      <c r="F27" s="36"/>
      <c r="G27" s="36"/>
      <c r="H27" s="77"/>
      <c r="I27" s="72"/>
      <c r="J27" s="18"/>
      <c r="K27" s="18"/>
      <c r="L27" s="18"/>
      <c r="M27" s="64"/>
      <c r="N27" s="63"/>
      <c r="O27" s="18"/>
      <c r="P27" s="18"/>
      <c r="Q27" s="18"/>
      <c r="R27" s="18"/>
      <c r="S27" s="18"/>
      <c r="T27" s="18"/>
      <c r="U27" s="64"/>
      <c r="V27" s="63"/>
      <c r="W27" s="18"/>
      <c r="X27" s="18"/>
      <c r="Y27" s="18"/>
      <c r="Z27" s="64"/>
    </row>
    <row r="28" spans="1:26">
      <c r="A28" s="72" t="str">
        <f>IFERROR(VLOOKUP(#REF!,#REF!,3,FALSE),"")</f>
        <v/>
      </c>
      <c r="B28" s="36" t="str">
        <f>IFERROR(VLOOKUP(#REF!,#REF!,4,FALSE),"")</f>
        <v/>
      </c>
      <c r="C28" s="36" t="str">
        <f>IFERROR(VLOOKUP(#REF!,#REF!,5,FALSE),"")</f>
        <v/>
      </c>
      <c r="D28" s="36"/>
      <c r="E28" s="36"/>
      <c r="F28" s="36"/>
      <c r="G28" s="36"/>
      <c r="H28" s="77"/>
      <c r="I28" s="72"/>
      <c r="J28" s="18"/>
      <c r="K28" s="18"/>
      <c r="L28" s="18"/>
      <c r="M28" s="64"/>
      <c r="N28" s="63"/>
      <c r="O28" s="18"/>
      <c r="P28" s="18"/>
      <c r="Q28" s="18"/>
      <c r="R28" s="18"/>
      <c r="S28" s="18"/>
      <c r="T28" s="18"/>
      <c r="U28" s="64"/>
      <c r="V28" s="63"/>
      <c r="W28" s="18"/>
      <c r="X28" s="18"/>
      <c r="Y28" s="18"/>
      <c r="Z28" s="64"/>
    </row>
    <row r="29" spans="1:26">
      <c r="A29" s="72" t="str">
        <f>IFERROR(VLOOKUP(#REF!,#REF!,3,FALSE),"")</f>
        <v/>
      </c>
      <c r="B29" s="36" t="str">
        <f>IFERROR(VLOOKUP(#REF!,#REF!,4,FALSE),"")</f>
        <v/>
      </c>
      <c r="C29" s="36" t="str">
        <f>IFERROR(VLOOKUP(#REF!,#REF!,5,FALSE),"")</f>
        <v/>
      </c>
      <c r="D29" s="36"/>
      <c r="E29" s="36"/>
      <c r="F29" s="36"/>
      <c r="G29" s="36"/>
      <c r="H29" s="77"/>
      <c r="I29" s="72"/>
      <c r="J29" s="18"/>
      <c r="K29" s="18"/>
      <c r="L29" s="18"/>
      <c r="M29" s="64"/>
      <c r="N29" s="63"/>
      <c r="O29" s="18"/>
      <c r="P29" s="18"/>
      <c r="Q29" s="18"/>
      <c r="R29" s="18"/>
      <c r="S29" s="18"/>
      <c r="T29" s="18"/>
      <c r="U29" s="64"/>
      <c r="V29" s="63"/>
      <c r="W29" s="18"/>
      <c r="X29" s="18"/>
      <c r="Y29" s="18"/>
      <c r="Z29" s="64"/>
    </row>
    <row r="30" spans="1:26">
      <c r="A30" s="72" t="str">
        <f>IFERROR(VLOOKUP(#REF!,#REF!,3,FALSE),"")</f>
        <v/>
      </c>
      <c r="B30" s="36" t="str">
        <f>IFERROR(VLOOKUP(#REF!,#REF!,4,FALSE),"")</f>
        <v/>
      </c>
      <c r="C30" s="36" t="str">
        <f>IFERROR(VLOOKUP(#REF!,#REF!,5,FALSE),"")</f>
        <v/>
      </c>
      <c r="D30" s="36"/>
      <c r="E30" s="36"/>
      <c r="F30" s="36"/>
      <c r="G30" s="36"/>
      <c r="H30" s="77"/>
      <c r="I30" s="72"/>
      <c r="J30" s="18"/>
      <c r="K30" s="18"/>
      <c r="L30" s="18"/>
      <c r="M30" s="64"/>
      <c r="N30" s="63"/>
      <c r="O30" s="18"/>
      <c r="P30" s="18"/>
      <c r="Q30" s="18"/>
      <c r="R30" s="18"/>
      <c r="S30" s="18"/>
      <c r="T30" s="18"/>
      <c r="U30" s="64"/>
      <c r="V30" s="63"/>
      <c r="W30" s="18"/>
      <c r="X30" s="18"/>
      <c r="Y30" s="18"/>
      <c r="Z30" s="64"/>
    </row>
    <row r="31" spans="1:26">
      <c r="A31" s="72" t="str">
        <f>IFERROR(VLOOKUP(#REF!,#REF!,3,FALSE),"")</f>
        <v/>
      </c>
      <c r="B31" s="36" t="str">
        <f>IFERROR(VLOOKUP(#REF!,#REF!,4,FALSE),"")</f>
        <v/>
      </c>
      <c r="C31" s="36" t="str">
        <f>IFERROR(VLOOKUP(#REF!,#REF!,5,FALSE),"")</f>
        <v/>
      </c>
      <c r="D31" s="36"/>
      <c r="E31" s="36"/>
      <c r="F31" s="36"/>
      <c r="G31" s="36"/>
      <c r="H31" s="77"/>
      <c r="I31" s="72"/>
      <c r="J31" s="18"/>
      <c r="K31" s="18"/>
      <c r="L31" s="18"/>
      <c r="M31" s="64"/>
      <c r="N31" s="63"/>
      <c r="O31" s="18"/>
      <c r="P31" s="18"/>
      <c r="Q31" s="18"/>
      <c r="R31" s="18"/>
      <c r="S31" s="18"/>
      <c r="T31" s="18"/>
      <c r="U31" s="64"/>
      <c r="V31" s="63"/>
      <c r="W31" s="18"/>
      <c r="X31" s="18"/>
      <c r="Y31" s="18"/>
      <c r="Z31" s="64"/>
    </row>
    <row r="32" spans="1:26">
      <c r="A32" s="72" t="str">
        <f>IFERROR(VLOOKUP(#REF!,#REF!,3,FALSE),"")</f>
        <v/>
      </c>
      <c r="B32" s="36" t="str">
        <f>IFERROR(VLOOKUP(#REF!,#REF!,4,FALSE),"")</f>
        <v/>
      </c>
      <c r="C32" s="36" t="str">
        <f>IFERROR(VLOOKUP(#REF!,#REF!,5,FALSE),"")</f>
        <v/>
      </c>
      <c r="D32" s="36"/>
      <c r="E32" s="36"/>
      <c r="F32" s="36"/>
      <c r="G32" s="36"/>
      <c r="H32" s="77"/>
      <c r="I32" s="72"/>
      <c r="J32" s="18"/>
      <c r="K32" s="18"/>
      <c r="L32" s="18"/>
      <c r="M32" s="64"/>
      <c r="N32" s="63"/>
      <c r="O32" s="18"/>
      <c r="P32" s="18"/>
      <c r="Q32" s="18"/>
      <c r="R32" s="18"/>
      <c r="S32" s="18"/>
      <c r="T32" s="18"/>
      <c r="U32" s="64"/>
      <c r="V32" s="63"/>
      <c r="W32" s="18"/>
      <c r="X32" s="18"/>
      <c r="Y32" s="18"/>
      <c r="Z32" s="64"/>
    </row>
    <row r="33" spans="1:26">
      <c r="A33" s="72" t="str">
        <f>IFERROR(VLOOKUP(#REF!,#REF!,3,FALSE),"")</f>
        <v/>
      </c>
      <c r="B33" s="36" t="str">
        <f>IFERROR(VLOOKUP(#REF!,#REF!,4,FALSE),"")</f>
        <v/>
      </c>
      <c r="C33" s="36" t="str">
        <f>IFERROR(VLOOKUP(#REF!,#REF!,5,FALSE),"")</f>
        <v/>
      </c>
      <c r="D33" s="36"/>
      <c r="E33" s="36"/>
      <c r="F33" s="36"/>
      <c r="G33" s="36"/>
      <c r="H33" s="77"/>
      <c r="I33" s="72"/>
      <c r="J33" s="18"/>
      <c r="K33" s="18"/>
      <c r="L33" s="18"/>
      <c r="M33" s="64"/>
      <c r="N33" s="63"/>
      <c r="O33" s="18"/>
      <c r="P33" s="18"/>
      <c r="Q33" s="18"/>
      <c r="R33" s="18"/>
      <c r="S33" s="18"/>
      <c r="T33" s="18"/>
      <c r="U33" s="64"/>
      <c r="V33" s="63"/>
      <c r="W33" s="18"/>
      <c r="X33" s="18"/>
      <c r="Y33" s="18"/>
      <c r="Z33" s="64"/>
    </row>
    <row r="34" spans="1:26">
      <c r="A34" s="72" t="str">
        <f>IFERROR(VLOOKUP(#REF!,#REF!,3,FALSE),"")</f>
        <v/>
      </c>
      <c r="B34" s="36" t="str">
        <f>IFERROR(VLOOKUP(#REF!,#REF!,4,FALSE),"")</f>
        <v/>
      </c>
      <c r="C34" s="36" t="str">
        <f>IFERROR(VLOOKUP(#REF!,#REF!,5,FALSE),"")</f>
        <v/>
      </c>
      <c r="D34" s="36"/>
      <c r="E34" s="36"/>
      <c r="F34" s="36"/>
      <c r="G34" s="36"/>
      <c r="H34" s="77"/>
      <c r="I34" s="72"/>
      <c r="J34" s="18"/>
      <c r="K34" s="18"/>
      <c r="L34" s="18"/>
      <c r="M34" s="64"/>
      <c r="N34" s="63"/>
      <c r="O34" s="18"/>
      <c r="P34" s="18"/>
      <c r="Q34" s="18"/>
      <c r="R34" s="18"/>
      <c r="S34" s="18"/>
      <c r="T34" s="18"/>
      <c r="U34" s="64"/>
      <c r="V34" s="63"/>
      <c r="W34" s="18"/>
      <c r="X34" s="18"/>
      <c r="Y34" s="18"/>
      <c r="Z34" s="64"/>
    </row>
    <row r="35" spans="1:26">
      <c r="A35" s="72" t="str">
        <f>IFERROR(VLOOKUP(#REF!,#REF!,3,FALSE),"")</f>
        <v/>
      </c>
      <c r="B35" s="36" t="str">
        <f>IFERROR(VLOOKUP(#REF!,#REF!,4,FALSE),"")</f>
        <v/>
      </c>
      <c r="C35" s="36" t="str">
        <f>IFERROR(VLOOKUP(#REF!,#REF!,5,FALSE),"")</f>
        <v/>
      </c>
      <c r="D35" s="36"/>
      <c r="E35" s="36"/>
      <c r="F35" s="36"/>
      <c r="G35" s="36"/>
      <c r="H35" s="77"/>
      <c r="I35" s="72"/>
      <c r="J35" s="18"/>
      <c r="K35" s="18"/>
      <c r="L35" s="18"/>
      <c r="M35" s="64"/>
      <c r="N35" s="63"/>
      <c r="O35" s="18"/>
      <c r="P35" s="18"/>
      <c r="Q35" s="18"/>
      <c r="R35" s="18"/>
      <c r="S35" s="18"/>
      <c r="T35" s="18"/>
      <c r="U35" s="64"/>
      <c r="V35" s="63"/>
      <c r="W35" s="18"/>
      <c r="X35" s="18"/>
      <c r="Y35" s="18"/>
      <c r="Z35" s="64"/>
    </row>
    <row r="36" spans="1:26">
      <c r="A36" s="72" t="str">
        <f>IFERROR(VLOOKUP(#REF!,#REF!,3,FALSE),"")</f>
        <v/>
      </c>
      <c r="B36" s="36" t="str">
        <f>IFERROR(VLOOKUP(#REF!,#REF!,4,FALSE),"")</f>
        <v/>
      </c>
      <c r="C36" s="36" t="str">
        <f>IFERROR(VLOOKUP(#REF!,#REF!,5,FALSE),"")</f>
        <v/>
      </c>
      <c r="D36" s="36"/>
      <c r="E36" s="36"/>
      <c r="F36" s="36"/>
      <c r="G36" s="36"/>
      <c r="H36" s="77"/>
      <c r="I36" s="72"/>
      <c r="J36" s="18"/>
      <c r="K36" s="18"/>
      <c r="L36" s="18"/>
      <c r="M36" s="64"/>
      <c r="N36" s="63"/>
      <c r="O36" s="18"/>
      <c r="P36" s="18"/>
      <c r="Q36" s="18"/>
      <c r="R36" s="18"/>
      <c r="S36" s="18"/>
      <c r="T36" s="18"/>
      <c r="U36" s="64"/>
      <c r="V36" s="63"/>
      <c r="W36" s="18"/>
      <c r="X36" s="18"/>
      <c r="Y36" s="18"/>
      <c r="Z36" s="64"/>
    </row>
    <row r="37" spans="1:26">
      <c r="A37" s="72" t="str">
        <f>IFERROR(VLOOKUP(#REF!,#REF!,3,FALSE),"")</f>
        <v/>
      </c>
      <c r="B37" s="36" t="str">
        <f>IFERROR(VLOOKUP(#REF!,#REF!,4,FALSE),"")</f>
        <v/>
      </c>
      <c r="C37" s="36" t="str">
        <f>IFERROR(VLOOKUP(#REF!,#REF!,5,FALSE),"")</f>
        <v/>
      </c>
      <c r="D37" s="36"/>
      <c r="E37" s="36"/>
      <c r="F37" s="36"/>
      <c r="G37" s="36"/>
      <c r="H37" s="77"/>
      <c r="I37" s="72"/>
      <c r="J37" s="18"/>
      <c r="K37" s="18"/>
      <c r="L37" s="18"/>
      <c r="M37" s="64"/>
      <c r="N37" s="63"/>
      <c r="O37" s="18"/>
      <c r="P37" s="18"/>
      <c r="Q37" s="18"/>
      <c r="R37" s="18"/>
      <c r="S37" s="18"/>
      <c r="T37" s="18"/>
      <c r="U37" s="64"/>
      <c r="V37" s="63"/>
      <c r="W37" s="18"/>
      <c r="X37" s="18"/>
      <c r="Y37" s="18"/>
      <c r="Z37" s="64"/>
    </row>
    <row r="38" spans="1:26">
      <c r="A38" s="72" t="str">
        <f>IFERROR(VLOOKUP(#REF!,#REF!,3,FALSE),"")</f>
        <v/>
      </c>
      <c r="B38" s="36" t="str">
        <f>IFERROR(VLOOKUP(#REF!,#REF!,4,FALSE),"")</f>
        <v/>
      </c>
      <c r="C38" s="36" t="str">
        <f>IFERROR(VLOOKUP(#REF!,#REF!,5,FALSE),"")</f>
        <v/>
      </c>
      <c r="D38" s="36"/>
      <c r="E38" s="36"/>
      <c r="F38" s="36"/>
      <c r="G38" s="36"/>
      <c r="H38" s="77"/>
      <c r="I38" s="72"/>
      <c r="J38" s="18"/>
      <c r="K38" s="18"/>
      <c r="L38" s="18"/>
      <c r="M38" s="64"/>
      <c r="N38" s="63"/>
      <c r="O38" s="18"/>
      <c r="P38" s="18"/>
      <c r="Q38" s="18"/>
      <c r="R38" s="18"/>
      <c r="S38" s="18"/>
      <c r="T38" s="18"/>
      <c r="U38" s="64"/>
      <c r="V38" s="63"/>
      <c r="W38" s="18"/>
      <c r="X38" s="18"/>
      <c r="Y38" s="18"/>
      <c r="Z38" s="64"/>
    </row>
    <row r="39" spans="1:26">
      <c r="A39" s="72" t="str">
        <f>IFERROR(VLOOKUP(#REF!,#REF!,3,FALSE),"")</f>
        <v/>
      </c>
      <c r="B39" s="36" t="str">
        <f>IFERROR(VLOOKUP(#REF!,#REF!,4,FALSE),"")</f>
        <v/>
      </c>
      <c r="C39" s="36" t="str">
        <f>IFERROR(VLOOKUP(#REF!,#REF!,5,FALSE),"")</f>
        <v/>
      </c>
      <c r="D39" s="36"/>
      <c r="E39" s="36"/>
      <c r="F39" s="36"/>
      <c r="G39" s="36"/>
      <c r="H39" s="77"/>
      <c r="I39" s="72"/>
      <c r="J39" s="18"/>
      <c r="K39" s="18"/>
      <c r="L39" s="18"/>
      <c r="M39" s="64"/>
      <c r="N39" s="63"/>
      <c r="O39" s="18"/>
      <c r="P39" s="18"/>
      <c r="Q39" s="18"/>
      <c r="R39" s="18"/>
      <c r="S39" s="18"/>
      <c r="T39" s="18"/>
      <c r="U39" s="64"/>
      <c r="V39" s="63"/>
      <c r="W39" s="18"/>
      <c r="X39" s="18"/>
      <c r="Y39" s="18"/>
      <c r="Z39" s="64"/>
    </row>
    <row r="40" spans="1:26">
      <c r="A40" s="72" t="str">
        <f>IFERROR(VLOOKUP(#REF!,#REF!,3,FALSE),"")</f>
        <v/>
      </c>
      <c r="B40" s="36" t="str">
        <f>IFERROR(VLOOKUP(#REF!,#REF!,4,FALSE),"")</f>
        <v/>
      </c>
      <c r="C40" s="36" t="str">
        <f>IFERROR(VLOOKUP(#REF!,#REF!,5,FALSE),"")</f>
        <v/>
      </c>
      <c r="D40" s="36"/>
      <c r="E40" s="36"/>
      <c r="F40" s="36"/>
      <c r="G40" s="36"/>
      <c r="H40" s="77"/>
      <c r="I40" s="72"/>
      <c r="J40" s="18"/>
      <c r="K40" s="18"/>
      <c r="L40" s="18"/>
      <c r="M40" s="64"/>
      <c r="N40" s="63"/>
      <c r="O40" s="18"/>
      <c r="P40" s="18"/>
      <c r="Q40" s="18"/>
      <c r="R40" s="18"/>
      <c r="S40" s="18"/>
      <c r="T40" s="18"/>
      <c r="U40" s="64"/>
      <c r="V40" s="63"/>
      <c r="W40" s="18"/>
      <c r="X40" s="18"/>
      <c r="Y40" s="18"/>
      <c r="Z40" s="64"/>
    </row>
    <row r="41" spans="1:26">
      <c r="A41" s="72" t="str">
        <f>IFERROR(VLOOKUP(#REF!,#REF!,3,FALSE),"")</f>
        <v/>
      </c>
      <c r="B41" s="36" t="str">
        <f>IFERROR(VLOOKUP(#REF!,#REF!,4,FALSE),"")</f>
        <v/>
      </c>
      <c r="C41" s="36" t="str">
        <f>IFERROR(VLOOKUP(#REF!,#REF!,5,FALSE),"")</f>
        <v/>
      </c>
      <c r="D41" s="36"/>
      <c r="E41" s="36"/>
      <c r="F41" s="36"/>
      <c r="G41" s="36"/>
      <c r="H41" s="77"/>
      <c r="I41" s="72"/>
      <c r="J41" s="18"/>
      <c r="K41" s="18"/>
      <c r="L41" s="18"/>
      <c r="M41" s="64"/>
      <c r="N41" s="63"/>
      <c r="O41" s="18"/>
      <c r="P41" s="18"/>
      <c r="Q41" s="18"/>
      <c r="R41" s="18"/>
      <c r="S41" s="18"/>
      <c r="T41" s="18"/>
      <c r="U41" s="64"/>
      <c r="V41" s="63"/>
      <c r="W41" s="18"/>
      <c r="X41" s="18"/>
      <c r="Y41" s="18"/>
      <c r="Z41" s="64"/>
    </row>
    <row r="42" spans="1:26">
      <c r="A42" s="72" t="str">
        <f>IFERROR(VLOOKUP(#REF!,#REF!,3,FALSE),"")</f>
        <v/>
      </c>
      <c r="B42" s="36" t="str">
        <f>IFERROR(VLOOKUP(#REF!,#REF!,4,FALSE),"")</f>
        <v/>
      </c>
      <c r="C42" s="36" t="str">
        <f>IFERROR(VLOOKUP(#REF!,#REF!,5,FALSE),"")</f>
        <v/>
      </c>
      <c r="D42" s="36"/>
      <c r="E42" s="36"/>
      <c r="F42" s="36"/>
      <c r="G42" s="36"/>
      <c r="H42" s="77"/>
      <c r="I42" s="72"/>
      <c r="J42" s="18"/>
      <c r="K42" s="18"/>
      <c r="L42" s="18"/>
      <c r="M42" s="64"/>
      <c r="N42" s="63"/>
      <c r="O42" s="18"/>
      <c r="P42" s="18"/>
      <c r="Q42" s="18"/>
      <c r="R42" s="18"/>
      <c r="S42" s="18"/>
      <c r="T42" s="18"/>
      <c r="U42" s="64"/>
      <c r="V42" s="63"/>
      <c r="W42" s="18"/>
      <c r="X42" s="18"/>
      <c r="Y42" s="18"/>
      <c r="Z42" s="64"/>
    </row>
    <row r="43" spans="1:26">
      <c r="A43" s="72" t="str">
        <f>IFERROR(VLOOKUP(#REF!,#REF!,3,FALSE),"")</f>
        <v/>
      </c>
      <c r="B43" s="36" t="str">
        <f>IFERROR(VLOOKUP(#REF!,#REF!,4,FALSE),"")</f>
        <v/>
      </c>
      <c r="C43" s="36" t="str">
        <f>IFERROR(VLOOKUP(#REF!,#REF!,5,FALSE),"")</f>
        <v/>
      </c>
      <c r="D43" s="36"/>
      <c r="E43" s="36"/>
      <c r="F43" s="36"/>
      <c r="G43" s="36"/>
      <c r="H43" s="77"/>
      <c r="I43" s="72"/>
      <c r="J43" s="18"/>
      <c r="K43" s="18"/>
      <c r="L43" s="18"/>
      <c r="M43" s="64"/>
      <c r="N43" s="63"/>
      <c r="O43" s="18"/>
      <c r="P43" s="18"/>
      <c r="Q43" s="18"/>
      <c r="R43" s="18"/>
      <c r="S43" s="18"/>
      <c r="T43" s="18"/>
      <c r="U43" s="64"/>
      <c r="V43" s="63"/>
      <c r="W43" s="18"/>
      <c r="X43" s="18"/>
      <c r="Y43" s="18"/>
      <c r="Z43" s="64"/>
    </row>
    <row r="44" spans="1:26">
      <c r="A44" s="72" t="str">
        <f>IFERROR(VLOOKUP(#REF!,#REF!,3,FALSE),"")</f>
        <v/>
      </c>
      <c r="B44" s="36" t="str">
        <f>IFERROR(VLOOKUP(#REF!,#REF!,4,FALSE),"")</f>
        <v/>
      </c>
      <c r="C44" s="36" t="str">
        <f>IFERROR(VLOOKUP(#REF!,#REF!,5,FALSE),"")</f>
        <v/>
      </c>
      <c r="D44" s="36"/>
      <c r="E44" s="36"/>
      <c r="F44" s="36"/>
      <c r="G44" s="36"/>
      <c r="H44" s="77"/>
      <c r="I44" s="72"/>
      <c r="J44" s="18"/>
      <c r="K44" s="18"/>
      <c r="L44" s="18"/>
      <c r="M44" s="64"/>
      <c r="N44" s="63"/>
      <c r="O44" s="18"/>
      <c r="P44" s="18"/>
      <c r="Q44" s="18"/>
      <c r="R44" s="18"/>
      <c r="S44" s="18"/>
      <c r="T44" s="18"/>
      <c r="U44" s="64"/>
      <c r="V44" s="63"/>
      <c r="W44" s="18"/>
      <c r="X44" s="18"/>
      <c r="Y44" s="18"/>
      <c r="Z44" s="64"/>
    </row>
    <row r="45" spans="1:26">
      <c r="A45" s="72" t="str">
        <f>IFERROR(VLOOKUP(#REF!,#REF!,3,FALSE),"")</f>
        <v/>
      </c>
      <c r="B45" s="36" t="str">
        <f>IFERROR(VLOOKUP(#REF!,#REF!,4,FALSE),"")</f>
        <v/>
      </c>
      <c r="C45" s="36" t="str">
        <f>IFERROR(VLOOKUP(#REF!,#REF!,5,FALSE),"")</f>
        <v/>
      </c>
      <c r="D45" s="36"/>
      <c r="E45" s="36"/>
      <c r="F45" s="36"/>
      <c r="G45" s="36"/>
      <c r="H45" s="77"/>
      <c r="I45" s="72"/>
      <c r="J45" s="18"/>
      <c r="K45" s="18"/>
      <c r="L45" s="18"/>
      <c r="M45" s="64"/>
      <c r="N45" s="63"/>
      <c r="O45" s="18"/>
      <c r="P45" s="18"/>
      <c r="Q45" s="18"/>
      <c r="R45" s="18"/>
      <c r="S45" s="18"/>
      <c r="T45" s="18"/>
      <c r="U45" s="64"/>
      <c r="V45" s="63"/>
      <c r="W45" s="18"/>
      <c r="X45" s="18"/>
      <c r="Y45" s="18"/>
      <c r="Z45" s="64"/>
    </row>
    <row r="46" spans="1:26">
      <c r="A46" s="72" t="str">
        <f>IFERROR(VLOOKUP(#REF!,#REF!,3,FALSE),"")</f>
        <v/>
      </c>
      <c r="B46" s="36" t="str">
        <f>IFERROR(VLOOKUP(#REF!,#REF!,4,FALSE),"")</f>
        <v/>
      </c>
      <c r="C46" s="36" t="str">
        <f>IFERROR(VLOOKUP(#REF!,#REF!,5,FALSE),"")</f>
        <v/>
      </c>
      <c r="D46" s="36"/>
      <c r="E46" s="36"/>
      <c r="F46" s="36"/>
      <c r="G46" s="36"/>
      <c r="H46" s="77"/>
      <c r="I46" s="72"/>
      <c r="J46" s="18"/>
      <c r="K46" s="18"/>
      <c r="L46" s="18"/>
      <c r="M46" s="64"/>
      <c r="N46" s="63"/>
      <c r="O46" s="18"/>
      <c r="P46" s="18"/>
      <c r="Q46" s="18"/>
      <c r="R46" s="18"/>
      <c r="S46" s="18"/>
      <c r="T46" s="18"/>
      <c r="U46" s="64"/>
      <c r="V46" s="63"/>
      <c r="W46" s="18"/>
      <c r="X46" s="18"/>
      <c r="Y46" s="18"/>
      <c r="Z46" s="64"/>
    </row>
    <row r="47" spans="1:26">
      <c r="A47" s="72" t="str">
        <f>IFERROR(VLOOKUP(#REF!,#REF!,3,FALSE),"")</f>
        <v/>
      </c>
      <c r="B47" s="36" t="str">
        <f>IFERROR(VLOOKUP(#REF!,#REF!,4,FALSE),"")</f>
        <v/>
      </c>
      <c r="C47" s="36" t="str">
        <f>IFERROR(VLOOKUP(#REF!,#REF!,5,FALSE),"")</f>
        <v/>
      </c>
      <c r="D47" s="36"/>
      <c r="E47" s="36"/>
      <c r="F47" s="36"/>
      <c r="G47" s="36"/>
      <c r="H47" s="77"/>
      <c r="I47" s="72"/>
      <c r="J47" s="18"/>
      <c r="K47" s="18"/>
      <c r="L47" s="18"/>
      <c r="M47" s="64"/>
      <c r="N47" s="63"/>
      <c r="O47" s="18"/>
      <c r="P47" s="18"/>
      <c r="Q47" s="18"/>
      <c r="R47" s="18"/>
      <c r="S47" s="18"/>
      <c r="T47" s="18"/>
      <c r="U47" s="64"/>
      <c r="V47" s="63"/>
      <c r="W47" s="18"/>
      <c r="X47" s="18"/>
      <c r="Y47" s="18"/>
      <c r="Z47" s="64"/>
    </row>
    <row r="48" spans="1:26">
      <c r="A48" s="72" t="str">
        <f>IFERROR(VLOOKUP(#REF!,#REF!,3,FALSE),"")</f>
        <v/>
      </c>
      <c r="B48" s="36" t="str">
        <f>IFERROR(VLOOKUP(#REF!,#REF!,4,FALSE),"")</f>
        <v/>
      </c>
      <c r="C48" s="36" t="str">
        <f>IFERROR(VLOOKUP(#REF!,#REF!,5,FALSE),"")</f>
        <v/>
      </c>
      <c r="D48" s="36"/>
      <c r="E48" s="36"/>
      <c r="F48" s="36"/>
      <c r="G48" s="36"/>
      <c r="H48" s="77"/>
      <c r="I48" s="72"/>
      <c r="J48" s="18"/>
      <c r="K48" s="18"/>
      <c r="L48" s="18"/>
      <c r="M48" s="64"/>
      <c r="N48" s="63"/>
      <c r="O48" s="18"/>
      <c r="P48" s="18"/>
      <c r="Q48" s="18"/>
      <c r="R48" s="18"/>
      <c r="S48" s="18"/>
      <c r="T48" s="18"/>
      <c r="U48" s="64"/>
      <c r="V48" s="63"/>
      <c r="W48" s="18"/>
      <c r="X48" s="18"/>
      <c r="Y48" s="18"/>
      <c r="Z48" s="64"/>
    </row>
    <row r="49" spans="1:26">
      <c r="A49" s="72" t="str">
        <f>IFERROR(VLOOKUP(#REF!,#REF!,3,FALSE),"")</f>
        <v/>
      </c>
      <c r="B49" s="36" t="str">
        <f>IFERROR(VLOOKUP(#REF!,#REF!,4,FALSE),"")</f>
        <v/>
      </c>
      <c r="C49" s="36" t="str">
        <f>IFERROR(VLOOKUP(#REF!,#REF!,5,FALSE),"")</f>
        <v/>
      </c>
      <c r="D49" s="36"/>
      <c r="E49" s="36"/>
      <c r="F49" s="36"/>
      <c r="G49" s="36"/>
      <c r="H49" s="77"/>
      <c r="I49" s="72"/>
      <c r="J49" s="18"/>
      <c r="K49" s="18"/>
      <c r="L49" s="18"/>
      <c r="M49" s="64"/>
      <c r="N49" s="63"/>
      <c r="O49" s="18"/>
      <c r="P49" s="18"/>
      <c r="Q49" s="18"/>
      <c r="R49" s="18"/>
      <c r="S49" s="18"/>
      <c r="T49" s="18"/>
      <c r="U49" s="64"/>
      <c r="V49" s="63"/>
      <c r="W49" s="18"/>
      <c r="X49" s="18"/>
      <c r="Y49" s="18"/>
      <c r="Z49" s="64"/>
    </row>
    <row r="50" spans="1:26">
      <c r="A50" s="72" t="str">
        <f>IFERROR(VLOOKUP(#REF!,#REF!,3,FALSE),"")</f>
        <v/>
      </c>
      <c r="B50" s="36" t="str">
        <f>IFERROR(VLOOKUP(#REF!,#REF!,4,FALSE),"")</f>
        <v/>
      </c>
      <c r="C50" s="36" t="str">
        <f>IFERROR(VLOOKUP(#REF!,#REF!,5,FALSE),"")</f>
        <v/>
      </c>
      <c r="D50" s="36"/>
      <c r="E50" s="36"/>
      <c r="F50" s="36"/>
      <c r="G50" s="36"/>
      <c r="H50" s="77"/>
      <c r="I50" s="72"/>
      <c r="J50" s="18"/>
      <c r="K50" s="18"/>
      <c r="L50" s="18"/>
      <c r="M50" s="64"/>
      <c r="N50" s="63"/>
      <c r="O50" s="18"/>
      <c r="P50" s="18"/>
      <c r="Q50" s="18"/>
      <c r="R50" s="18"/>
      <c r="S50" s="18"/>
      <c r="T50" s="18"/>
      <c r="U50" s="64"/>
      <c r="V50" s="63"/>
      <c r="W50" s="18"/>
      <c r="X50" s="18"/>
      <c r="Y50" s="18"/>
      <c r="Z50" s="64"/>
    </row>
    <row r="51" spans="1:26">
      <c r="A51" s="72" t="str">
        <f>IFERROR(VLOOKUP(#REF!,#REF!,3,FALSE),"")</f>
        <v/>
      </c>
      <c r="B51" s="36" t="str">
        <f>IFERROR(VLOOKUP(#REF!,#REF!,4,FALSE),"")</f>
        <v/>
      </c>
      <c r="C51" s="36" t="str">
        <f>IFERROR(VLOOKUP(#REF!,#REF!,5,FALSE),"")</f>
        <v/>
      </c>
      <c r="D51" s="36"/>
      <c r="E51" s="36"/>
      <c r="F51" s="36"/>
      <c r="G51" s="36"/>
      <c r="H51" s="77"/>
      <c r="I51" s="72"/>
      <c r="J51" s="18"/>
      <c r="K51" s="18"/>
      <c r="L51" s="18"/>
      <c r="M51" s="64"/>
      <c r="N51" s="63"/>
      <c r="O51" s="18"/>
      <c r="P51" s="18"/>
      <c r="Q51" s="18"/>
      <c r="R51" s="18"/>
      <c r="S51" s="18"/>
      <c r="T51" s="18"/>
      <c r="U51" s="64"/>
      <c r="V51" s="63"/>
      <c r="W51" s="18"/>
      <c r="X51" s="18"/>
      <c r="Y51" s="18"/>
      <c r="Z51" s="64"/>
    </row>
    <row r="52" spans="1:26">
      <c r="A52" s="72" t="str">
        <f>IFERROR(VLOOKUP(#REF!,#REF!,3,FALSE),"")</f>
        <v/>
      </c>
      <c r="B52" s="36" t="str">
        <f>IFERROR(VLOOKUP(#REF!,#REF!,4,FALSE),"")</f>
        <v/>
      </c>
      <c r="C52" s="36" t="str">
        <f>IFERROR(VLOOKUP(#REF!,#REF!,5,FALSE),"")</f>
        <v/>
      </c>
      <c r="D52" s="36"/>
      <c r="E52" s="36"/>
      <c r="F52" s="36"/>
      <c r="G52" s="36"/>
      <c r="H52" s="77"/>
      <c r="I52" s="72"/>
      <c r="J52" s="18"/>
      <c r="K52" s="18"/>
      <c r="L52" s="18"/>
      <c r="M52" s="64"/>
      <c r="N52" s="63"/>
      <c r="O52" s="18"/>
      <c r="P52" s="18"/>
      <c r="Q52" s="18"/>
      <c r="R52" s="18"/>
      <c r="S52" s="18"/>
      <c r="T52" s="18"/>
      <c r="U52" s="64"/>
      <c r="V52" s="63"/>
      <c r="W52" s="18"/>
      <c r="X52" s="18"/>
      <c r="Y52" s="18"/>
      <c r="Z52" s="64"/>
    </row>
    <row r="53" spans="1:26">
      <c r="A53" s="72" t="str">
        <f>IFERROR(VLOOKUP(#REF!,#REF!,3,FALSE),"")</f>
        <v/>
      </c>
      <c r="B53" s="36" t="str">
        <f>IFERROR(VLOOKUP(#REF!,#REF!,4,FALSE),"")</f>
        <v/>
      </c>
      <c r="C53" s="36" t="str">
        <f>IFERROR(VLOOKUP(#REF!,#REF!,5,FALSE),"")</f>
        <v/>
      </c>
      <c r="D53" s="36"/>
      <c r="E53" s="36"/>
      <c r="F53" s="36"/>
      <c r="G53" s="36"/>
      <c r="H53" s="77"/>
      <c r="I53" s="72"/>
      <c r="J53" s="18"/>
      <c r="K53" s="18"/>
      <c r="L53" s="18"/>
      <c r="M53" s="64"/>
      <c r="N53" s="63"/>
      <c r="O53" s="18"/>
      <c r="P53" s="18"/>
      <c r="Q53" s="18"/>
      <c r="R53" s="18"/>
      <c r="S53" s="18"/>
      <c r="T53" s="18"/>
      <c r="U53" s="64"/>
      <c r="V53" s="63"/>
      <c r="W53" s="18"/>
      <c r="X53" s="18"/>
      <c r="Y53" s="18"/>
      <c r="Z53" s="64"/>
    </row>
    <row r="54" spans="1:26">
      <c r="A54" s="72" t="str">
        <f>IFERROR(VLOOKUP(#REF!,#REF!,3,FALSE),"")</f>
        <v/>
      </c>
      <c r="B54" s="36" t="str">
        <f>IFERROR(VLOOKUP(#REF!,#REF!,4,FALSE),"")</f>
        <v/>
      </c>
      <c r="C54" s="36" t="str">
        <f>IFERROR(VLOOKUP(#REF!,#REF!,5,FALSE),"")</f>
        <v/>
      </c>
      <c r="D54" s="36"/>
      <c r="E54" s="36"/>
      <c r="F54" s="36"/>
      <c r="G54" s="36"/>
      <c r="H54" s="77"/>
      <c r="I54" s="72"/>
      <c r="J54" s="18"/>
      <c r="K54" s="18"/>
      <c r="L54" s="18"/>
      <c r="M54" s="64"/>
      <c r="N54" s="63"/>
      <c r="O54" s="18"/>
      <c r="P54" s="18"/>
      <c r="Q54" s="18"/>
      <c r="R54" s="18"/>
      <c r="S54" s="18"/>
      <c r="T54" s="18"/>
      <c r="U54" s="64"/>
      <c r="V54" s="63"/>
      <c r="W54" s="18"/>
      <c r="X54" s="18"/>
      <c r="Y54" s="18"/>
      <c r="Z54" s="64"/>
    </row>
    <row r="55" spans="1:26">
      <c r="A55" s="72" t="str">
        <f>IFERROR(VLOOKUP(#REF!,#REF!,3,FALSE),"")</f>
        <v/>
      </c>
      <c r="B55" s="36" t="str">
        <f>IFERROR(VLOOKUP(#REF!,#REF!,4,FALSE),"")</f>
        <v/>
      </c>
      <c r="C55" s="36" t="str">
        <f>IFERROR(VLOOKUP(#REF!,#REF!,5,FALSE),"")</f>
        <v/>
      </c>
      <c r="D55" s="36"/>
      <c r="E55" s="36"/>
      <c r="F55" s="36"/>
      <c r="G55" s="36"/>
      <c r="H55" s="77"/>
      <c r="I55" s="72"/>
      <c r="J55" s="18"/>
      <c r="K55" s="18"/>
      <c r="L55" s="18"/>
      <c r="M55" s="64"/>
      <c r="N55" s="63"/>
      <c r="O55" s="18"/>
      <c r="P55" s="18"/>
      <c r="Q55" s="18"/>
      <c r="R55" s="18"/>
      <c r="S55" s="18"/>
      <c r="T55" s="18"/>
      <c r="U55" s="64"/>
      <c r="V55" s="63"/>
      <c r="W55" s="18"/>
      <c r="X55" s="18"/>
      <c r="Y55" s="18"/>
      <c r="Z55" s="64"/>
    </row>
    <row r="56" spans="1:26">
      <c r="A56" s="72" t="str">
        <f>IFERROR(VLOOKUP(#REF!,#REF!,3,FALSE),"")</f>
        <v/>
      </c>
      <c r="B56" s="36" t="str">
        <f>IFERROR(VLOOKUP(#REF!,#REF!,4,FALSE),"")</f>
        <v/>
      </c>
      <c r="C56" s="36" t="str">
        <f>IFERROR(VLOOKUP(#REF!,#REF!,5,FALSE),"")</f>
        <v/>
      </c>
      <c r="D56" s="36"/>
      <c r="E56" s="36"/>
      <c r="F56" s="36"/>
      <c r="G56" s="36"/>
      <c r="H56" s="77"/>
      <c r="I56" s="72"/>
      <c r="J56" s="18"/>
      <c r="K56" s="18"/>
      <c r="L56" s="18"/>
      <c r="M56" s="64"/>
      <c r="N56" s="63"/>
      <c r="O56" s="18"/>
      <c r="P56" s="18"/>
      <c r="Q56" s="18"/>
      <c r="R56" s="18"/>
      <c r="S56" s="18"/>
      <c r="T56" s="18"/>
      <c r="U56" s="64"/>
      <c r="V56" s="63"/>
      <c r="W56" s="18"/>
      <c r="X56" s="18"/>
      <c r="Y56" s="18"/>
      <c r="Z56" s="64"/>
    </row>
    <row r="57" spans="1:26">
      <c r="A57" s="72" t="str">
        <f>IFERROR(VLOOKUP(#REF!,#REF!,3,FALSE),"")</f>
        <v/>
      </c>
      <c r="B57" s="36" t="str">
        <f>IFERROR(VLOOKUP(#REF!,#REF!,4,FALSE),"")</f>
        <v/>
      </c>
      <c r="C57" s="36" t="str">
        <f>IFERROR(VLOOKUP(#REF!,#REF!,5,FALSE),"")</f>
        <v/>
      </c>
      <c r="D57" s="36"/>
      <c r="E57" s="36"/>
      <c r="F57" s="36"/>
      <c r="G57" s="36"/>
      <c r="H57" s="77"/>
      <c r="I57" s="72"/>
      <c r="J57" s="18"/>
      <c r="K57" s="18"/>
      <c r="L57" s="18"/>
      <c r="M57" s="64"/>
      <c r="N57" s="63"/>
      <c r="O57" s="18"/>
      <c r="P57" s="18"/>
      <c r="Q57" s="18"/>
      <c r="R57" s="18"/>
      <c r="S57" s="18"/>
      <c r="T57" s="18"/>
      <c r="U57" s="64"/>
      <c r="V57" s="63"/>
      <c r="W57" s="18"/>
      <c r="X57" s="18"/>
      <c r="Y57" s="18"/>
      <c r="Z57" s="64"/>
    </row>
    <row r="58" spans="1:26">
      <c r="A58" s="72" t="str">
        <f>IFERROR(VLOOKUP(#REF!,#REF!,3,FALSE),"")</f>
        <v/>
      </c>
      <c r="B58" s="36" t="str">
        <f>IFERROR(VLOOKUP(#REF!,#REF!,4,FALSE),"")</f>
        <v/>
      </c>
      <c r="C58" s="36" t="str">
        <f>IFERROR(VLOOKUP(#REF!,#REF!,5,FALSE),"")</f>
        <v/>
      </c>
      <c r="D58" s="36"/>
      <c r="E58" s="36"/>
      <c r="F58" s="36"/>
      <c r="G58" s="36"/>
      <c r="H58" s="77"/>
      <c r="I58" s="72"/>
      <c r="J58" s="18"/>
      <c r="K58" s="18"/>
      <c r="L58" s="18"/>
      <c r="M58" s="64"/>
      <c r="N58" s="63"/>
      <c r="O58" s="18"/>
      <c r="P58" s="18"/>
      <c r="Q58" s="18"/>
      <c r="R58" s="18"/>
      <c r="S58" s="18"/>
      <c r="T58" s="18"/>
      <c r="U58" s="64"/>
      <c r="V58" s="63"/>
      <c r="W58" s="18"/>
      <c r="X58" s="18"/>
      <c r="Y58" s="18"/>
      <c r="Z58" s="64"/>
    </row>
    <row r="59" spans="1:26">
      <c r="A59" s="72" t="str">
        <f>IFERROR(VLOOKUP(#REF!,#REF!,3,FALSE),"")</f>
        <v/>
      </c>
      <c r="B59" s="36" t="str">
        <f>IFERROR(VLOOKUP(#REF!,#REF!,4,FALSE),"")</f>
        <v/>
      </c>
      <c r="C59" s="36" t="str">
        <f>IFERROR(VLOOKUP(#REF!,#REF!,5,FALSE),"")</f>
        <v/>
      </c>
      <c r="D59" s="36"/>
      <c r="E59" s="36"/>
      <c r="F59" s="36"/>
      <c r="G59" s="36"/>
      <c r="H59" s="77"/>
      <c r="I59" s="72"/>
      <c r="J59" s="18"/>
      <c r="K59" s="18"/>
      <c r="L59" s="18"/>
      <c r="M59" s="64"/>
      <c r="N59" s="63"/>
      <c r="O59" s="18"/>
      <c r="P59" s="18"/>
      <c r="Q59" s="18"/>
      <c r="R59" s="18"/>
      <c r="S59" s="18"/>
      <c r="T59" s="18"/>
      <c r="U59" s="64"/>
      <c r="V59" s="63"/>
      <c r="W59" s="18"/>
      <c r="X59" s="18"/>
      <c r="Y59" s="18"/>
      <c r="Z59" s="64"/>
    </row>
    <row r="60" spans="1:26">
      <c r="A60" s="72" t="str">
        <f>IFERROR(VLOOKUP(#REF!,#REF!,3,FALSE),"")</f>
        <v/>
      </c>
      <c r="B60" s="36" t="str">
        <f>IFERROR(VLOOKUP(#REF!,#REF!,4,FALSE),"")</f>
        <v/>
      </c>
      <c r="C60" s="36" t="str">
        <f>IFERROR(VLOOKUP(#REF!,#REF!,5,FALSE),"")</f>
        <v/>
      </c>
      <c r="D60" s="36"/>
      <c r="E60" s="36"/>
      <c r="F60" s="36"/>
      <c r="G60" s="36"/>
      <c r="H60" s="77"/>
      <c r="I60" s="72"/>
      <c r="J60" s="18"/>
      <c r="K60" s="18"/>
      <c r="L60" s="18"/>
      <c r="M60" s="64"/>
      <c r="N60" s="63"/>
      <c r="O60" s="18"/>
      <c r="P60" s="18"/>
      <c r="Q60" s="18"/>
      <c r="R60" s="18"/>
      <c r="S60" s="18"/>
      <c r="T60" s="18"/>
      <c r="U60" s="64"/>
      <c r="V60" s="63"/>
      <c r="W60" s="18"/>
      <c r="X60" s="18"/>
      <c r="Y60" s="18"/>
      <c r="Z60" s="64"/>
    </row>
    <row r="61" spans="1:26">
      <c r="A61" s="72" t="str">
        <f>IFERROR(VLOOKUP(#REF!,#REF!,3,FALSE),"")</f>
        <v/>
      </c>
      <c r="B61" s="36" t="str">
        <f>IFERROR(VLOOKUP(#REF!,#REF!,4,FALSE),"")</f>
        <v/>
      </c>
      <c r="C61" s="36" t="str">
        <f>IFERROR(VLOOKUP(#REF!,#REF!,5,FALSE),"")</f>
        <v/>
      </c>
      <c r="D61" s="36"/>
      <c r="E61" s="36"/>
      <c r="F61" s="36"/>
      <c r="G61" s="36"/>
      <c r="H61" s="77"/>
      <c r="I61" s="72"/>
      <c r="J61" s="18"/>
      <c r="K61" s="18"/>
      <c r="L61" s="18"/>
      <c r="M61" s="64"/>
      <c r="N61" s="63"/>
      <c r="O61" s="18"/>
      <c r="P61" s="18"/>
      <c r="Q61" s="18"/>
      <c r="R61" s="18"/>
      <c r="S61" s="18"/>
      <c r="T61" s="18"/>
      <c r="U61" s="64"/>
      <c r="V61" s="63"/>
      <c r="W61" s="18"/>
      <c r="X61" s="18"/>
      <c r="Y61" s="18"/>
      <c r="Z61" s="64"/>
    </row>
    <row r="62" spans="1:26">
      <c r="A62" s="72" t="str">
        <f>IFERROR(VLOOKUP(#REF!,#REF!,3,FALSE),"")</f>
        <v/>
      </c>
      <c r="B62" s="36" t="str">
        <f>IFERROR(VLOOKUP(#REF!,#REF!,4,FALSE),"")</f>
        <v/>
      </c>
      <c r="C62" s="36" t="str">
        <f>IFERROR(VLOOKUP(#REF!,#REF!,5,FALSE),"")</f>
        <v/>
      </c>
      <c r="D62" s="36"/>
      <c r="E62" s="36"/>
      <c r="F62" s="36"/>
      <c r="G62" s="36"/>
      <c r="H62" s="77"/>
      <c r="I62" s="72"/>
      <c r="J62" s="18"/>
      <c r="K62" s="18"/>
      <c r="L62" s="18"/>
      <c r="M62" s="64"/>
      <c r="N62" s="63"/>
      <c r="O62" s="18"/>
      <c r="P62" s="18"/>
      <c r="Q62" s="18"/>
      <c r="R62" s="18"/>
      <c r="S62" s="18"/>
      <c r="T62" s="18"/>
      <c r="U62" s="64"/>
      <c r="V62" s="63"/>
      <c r="W62" s="18"/>
      <c r="X62" s="18"/>
      <c r="Y62" s="18"/>
      <c r="Z62" s="64"/>
    </row>
    <row r="63" spans="1:26">
      <c r="A63" s="72" t="str">
        <f>IFERROR(VLOOKUP(#REF!,#REF!,3,FALSE),"")</f>
        <v/>
      </c>
      <c r="B63" s="36" t="str">
        <f>IFERROR(VLOOKUP(#REF!,#REF!,4,FALSE),"")</f>
        <v/>
      </c>
      <c r="C63" s="36" t="str">
        <f>IFERROR(VLOOKUP(#REF!,#REF!,5,FALSE),"")</f>
        <v/>
      </c>
      <c r="D63" s="36"/>
      <c r="E63" s="36"/>
      <c r="F63" s="36"/>
      <c r="G63" s="36"/>
      <c r="H63" s="77"/>
      <c r="I63" s="72"/>
      <c r="J63" s="18"/>
      <c r="K63" s="18"/>
      <c r="L63" s="18"/>
      <c r="M63" s="64"/>
      <c r="N63" s="63"/>
      <c r="O63" s="18"/>
      <c r="P63" s="18"/>
      <c r="Q63" s="18"/>
      <c r="R63" s="18"/>
      <c r="S63" s="18"/>
      <c r="T63" s="18"/>
      <c r="U63" s="64"/>
      <c r="V63" s="63"/>
      <c r="W63" s="18"/>
      <c r="X63" s="18"/>
      <c r="Y63" s="18"/>
      <c r="Z63" s="64"/>
    </row>
    <row r="64" spans="1:26">
      <c r="A64" s="72" t="str">
        <f>IFERROR(VLOOKUP(#REF!,#REF!,3,FALSE),"")</f>
        <v/>
      </c>
      <c r="B64" s="36" t="str">
        <f>IFERROR(VLOOKUP(#REF!,#REF!,4,FALSE),"")</f>
        <v/>
      </c>
      <c r="C64" s="36" t="str">
        <f>IFERROR(VLOOKUP(#REF!,#REF!,5,FALSE),"")</f>
        <v/>
      </c>
      <c r="D64" s="36"/>
      <c r="E64" s="36"/>
      <c r="F64" s="36"/>
      <c r="G64" s="36"/>
      <c r="H64" s="77"/>
      <c r="I64" s="72"/>
      <c r="J64" s="18"/>
      <c r="K64" s="18"/>
      <c r="L64" s="18"/>
      <c r="M64" s="64"/>
      <c r="N64" s="63"/>
      <c r="O64" s="18"/>
      <c r="P64" s="18"/>
      <c r="Q64" s="18"/>
      <c r="R64" s="18"/>
      <c r="S64" s="18"/>
      <c r="T64" s="18"/>
      <c r="U64" s="64"/>
      <c r="V64" s="63"/>
      <c r="W64" s="18"/>
      <c r="X64" s="18"/>
      <c r="Y64" s="18"/>
      <c r="Z64" s="64"/>
    </row>
    <row r="65" spans="1:26">
      <c r="A65" s="72" t="str">
        <f>IFERROR(VLOOKUP(#REF!,#REF!,3,FALSE),"")</f>
        <v/>
      </c>
      <c r="B65" s="36" t="str">
        <f>IFERROR(VLOOKUP(#REF!,#REF!,4,FALSE),"")</f>
        <v/>
      </c>
      <c r="C65" s="36" t="str">
        <f>IFERROR(VLOOKUP(#REF!,#REF!,5,FALSE),"")</f>
        <v/>
      </c>
      <c r="D65" s="36"/>
      <c r="E65" s="36"/>
      <c r="F65" s="36"/>
      <c r="G65" s="36"/>
      <c r="H65" s="77"/>
      <c r="I65" s="72"/>
      <c r="J65" s="18"/>
      <c r="K65" s="18"/>
      <c r="L65" s="18"/>
      <c r="M65" s="64"/>
      <c r="N65" s="63"/>
      <c r="O65" s="18"/>
      <c r="P65" s="18"/>
      <c r="Q65" s="18"/>
      <c r="R65" s="18"/>
      <c r="S65" s="18"/>
      <c r="T65" s="18"/>
      <c r="U65" s="64"/>
      <c r="V65" s="63"/>
      <c r="W65" s="18"/>
      <c r="X65" s="18"/>
      <c r="Y65" s="18"/>
      <c r="Z65" s="64"/>
    </row>
    <row r="66" spans="1:26">
      <c r="A66" s="72" t="str">
        <f>IFERROR(VLOOKUP(#REF!,#REF!,3,FALSE),"")</f>
        <v/>
      </c>
      <c r="B66" s="36" t="str">
        <f>IFERROR(VLOOKUP(#REF!,#REF!,4,FALSE),"")</f>
        <v/>
      </c>
      <c r="C66" s="36" t="str">
        <f>IFERROR(VLOOKUP(#REF!,#REF!,5,FALSE),"")</f>
        <v/>
      </c>
      <c r="D66" s="36"/>
      <c r="E66" s="36"/>
      <c r="F66" s="36"/>
      <c r="G66" s="36"/>
      <c r="H66" s="77"/>
      <c r="I66" s="72"/>
      <c r="J66" s="18"/>
      <c r="K66" s="18"/>
      <c r="L66" s="18"/>
      <c r="M66" s="64"/>
      <c r="N66" s="63"/>
      <c r="O66" s="18"/>
      <c r="P66" s="18"/>
      <c r="Q66" s="18"/>
      <c r="R66" s="18"/>
      <c r="S66" s="18"/>
      <c r="T66" s="18"/>
      <c r="U66" s="64"/>
      <c r="V66" s="63"/>
      <c r="W66" s="18"/>
      <c r="X66" s="18"/>
      <c r="Y66" s="18"/>
      <c r="Z66" s="64"/>
    </row>
    <row r="67" spans="1:26">
      <c r="A67" s="72" t="str">
        <f>IFERROR(VLOOKUP(#REF!,#REF!,3,FALSE),"")</f>
        <v/>
      </c>
      <c r="B67" s="36" t="str">
        <f>IFERROR(VLOOKUP(#REF!,#REF!,4,FALSE),"")</f>
        <v/>
      </c>
      <c r="C67" s="36" t="str">
        <f>IFERROR(VLOOKUP(#REF!,#REF!,5,FALSE),"")</f>
        <v/>
      </c>
      <c r="D67" s="36"/>
      <c r="E67" s="36"/>
      <c r="F67" s="36"/>
      <c r="G67" s="36"/>
      <c r="H67" s="77"/>
      <c r="I67" s="72"/>
      <c r="J67" s="18"/>
      <c r="K67" s="18"/>
      <c r="L67" s="18"/>
      <c r="M67" s="64"/>
      <c r="N67" s="63"/>
      <c r="O67" s="18"/>
      <c r="P67" s="18"/>
      <c r="Q67" s="18"/>
      <c r="R67" s="18"/>
      <c r="S67" s="18"/>
      <c r="T67" s="18"/>
      <c r="U67" s="64"/>
      <c r="V67" s="63"/>
      <c r="W67" s="18"/>
      <c r="X67" s="18"/>
      <c r="Y67" s="18"/>
      <c r="Z67" s="64"/>
    </row>
    <row r="68" spans="1:26">
      <c r="A68" s="72" t="str">
        <f>IFERROR(VLOOKUP(#REF!,#REF!,3,FALSE),"")</f>
        <v/>
      </c>
      <c r="B68" s="36" t="str">
        <f>IFERROR(VLOOKUP(#REF!,#REF!,4,FALSE),"")</f>
        <v/>
      </c>
      <c r="C68" s="36" t="str">
        <f>IFERROR(VLOOKUP(#REF!,#REF!,5,FALSE),"")</f>
        <v/>
      </c>
      <c r="D68" s="36"/>
      <c r="E68" s="36"/>
      <c r="F68" s="36"/>
      <c r="G68" s="36"/>
      <c r="H68" s="77"/>
      <c r="I68" s="72"/>
      <c r="J68" s="18"/>
      <c r="K68" s="18"/>
      <c r="L68" s="18"/>
      <c r="M68" s="64"/>
      <c r="N68" s="63"/>
      <c r="O68" s="18"/>
      <c r="P68" s="18"/>
      <c r="Q68" s="18"/>
      <c r="R68" s="18"/>
      <c r="S68" s="18"/>
      <c r="T68" s="18"/>
      <c r="U68" s="64"/>
      <c r="V68" s="63"/>
      <c r="W68" s="18"/>
      <c r="X68" s="18"/>
      <c r="Y68" s="18"/>
      <c r="Z68" s="64"/>
    </row>
    <row r="69" spans="1:26">
      <c r="A69" s="72" t="str">
        <f>IFERROR(VLOOKUP(#REF!,#REF!,3,FALSE),"")</f>
        <v/>
      </c>
      <c r="B69" s="36" t="str">
        <f>IFERROR(VLOOKUP(#REF!,#REF!,4,FALSE),"")</f>
        <v/>
      </c>
      <c r="C69" s="36" t="str">
        <f>IFERROR(VLOOKUP(#REF!,#REF!,5,FALSE),"")</f>
        <v/>
      </c>
      <c r="D69" s="36"/>
      <c r="E69" s="36"/>
      <c r="F69" s="36"/>
      <c r="G69" s="36"/>
      <c r="H69" s="77"/>
      <c r="I69" s="72"/>
      <c r="J69" s="18"/>
      <c r="K69" s="18"/>
      <c r="L69" s="18"/>
      <c r="M69" s="64"/>
      <c r="N69" s="63"/>
      <c r="O69" s="18"/>
      <c r="P69" s="18"/>
      <c r="Q69" s="18"/>
      <c r="R69" s="18"/>
      <c r="S69" s="18"/>
      <c r="T69" s="18"/>
      <c r="U69" s="64"/>
      <c r="V69" s="63"/>
      <c r="W69" s="18"/>
      <c r="X69" s="18"/>
      <c r="Y69" s="18"/>
      <c r="Z69" s="64"/>
    </row>
    <row r="70" spans="1:26">
      <c r="A70" s="72" t="str">
        <f>IFERROR(VLOOKUP(#REF!,#REF!,3,FALSE),"")</f>
        <v/>
      </c>
      <c r="B70" s="36" t="str">
        <f>IFERROR(VLOOKUP(#REF!,#REF!,4,FALSE),"")</f>
        <v/>
      </c>
      <c r="C70" s="36" t="str">
        <f>IFERROR(VLOOKUP(#REF!,#REF!,5,FALSE),"")</f>
        <v/>
      </c>
      <c r="D70" s="36"/>
      <c r="E70" s="36"/>
      <c r="F70" s="36"/>
      <c r="G70" s="36"/>
      <c r="H70" s="77"/>
      <c r="I70" s="72"/>
      <c r="J70" s="18"/>
      <c r="K70" s="18"/>
      <c r="L70" s="18"/>
      <c r="M70" s="64"/>
      <c r="N70" s="63"/>
      <c r="O70" s="18"/>
      <c r="P70" s="18"/>
      <c r="Q70" s="18"/>
      <c r="R70" s="18"/>
      <c r="S70" s="18"/>
      <c r="T70" s="18"/>
      <c r="U70" s="64"/>
      <c r="V70" s="63"/>
      <c r="W70" s="18"/>
      <c r="X70" s="18"/>
      <c r="Y70" s="18"/>
      <c r="Z70" s="64"/>
    </row>
    <row r="71" spans="1:26">
      <c r="A71" s="72" t="str">
        <f>IFERROR(VLOOKUP(#REF!,#REF!,3,FALSE),"")</f>
        <v/>
      </c>
      <c r="B71" s="36" t="str">
        <f>IFERROR(VLOOKUP(#REF!,#REF!,4,FALSE),"")</f>
        <v/>
      </c>
      <c r="C71" s="36" t="str">
        <f>IFERROR(VLOOKUP(#REF!,#REF!,5,FALSE),"")</f>
        <v/>
      </c>
      <c r="D71" s="36"/>
      <c r="E71" s="36"/>
      <c r="F71" s="36"/>
      <c r="G71" s="36"/>
      <c r="H71" s="77"/>
      <c r="I71" s="72"/>
      <c r="J71" s="18"/>
      <c r="K71" s="18"/>
      <c r="L71" s="18"/>
      <c r="M71" s="64"/>
      <c r="N71" s="63"/>
      <c r="O71" s="18"/>
      <c r="P71" s="18"/>
      <c r="Q71" s="18"/>
      <c r="R71" s="18"/>
      <c r="S71" s="18"/>
      <c r="T71" s="18"/>
      <c r="U71" s="64"/>
      <c r="V71" s="63"/>
      <c r="W71" s="18"/>
      <c r="X71" s="18"/>
      <c r="Y71" s="18"/>
      <c r="Z71" s="64"/>
    </row>
    <row r="72" spans="1:26">
      <c r="A72" s="72" t="str">
        <f>IFERROR(VLOOKUP(#REF!,#REF!,3,FALSE),"")</f>
        <v/>
      </c>
      <c r="B72" s="36" t="str">
        <f>IFERROR(VLOOKUP(#REF!,#REF!,4,FALSE),"")</f>
        <v/>
      </c>
      <c r="C72" s="36" t="str">
        <f>IFERROR(VLOOKUP(#REF!,#REF!,5,FALSE),"")</f>
        <v/>
      </c>
      <c r="D72" s="36"/>
      <c r="E72" s="36"/>
      <c r="F72" s="36"/>
      <c r="G72" s="36"/>
      <c r="H72" s="77"/>
      <c r="I72" s="72"/>
      <c r="J72" s="18"/>
      <c r="K72" s="18"/>
      <c r="L72" s="18"/>
      <c r="M72" s="64"/>
      <c r="N72" s="63"/>
      <c r="O72" s="18"/>
      <c r="P72" s="18"/>
      <c r="Q72" s="18"/>
      <c r="R72" s="18"/>
      <c r="S72" s="18"/>
      <c r="T72" s="18"/>
      <c r="U72" s="64"/>
      <c r="V72" s="63"/>
      <c r="W72" s="18"/>
      <c r="X72" s="18"/>
      <c r="Y72" s="18"/>
      <c r="Z72" s="64"/>
    </row>
    <row r="73" spans="1:26">
      <c r="A73" s="72" t="str">
        <f>IFERROR(VLOOKUP(#REF!,#REF!,3,FALSE),"")</f>
        <v/>
      </c>
      <c r="B73" s="36" t="str">
        <f>IFERROR(VLOOKUP(#REF!,#REF!,4,FALSE),"")</f>
        <v/>
      </c>
      <c r="C73" s="36" t="str">
        <f>IFERROR(VLOOKUP(#REF!,#REF!,5,FALSE),"")</f>
        <v/>
      </c>
      <c r="D73" s="36"/>
      <c r="E73" s="36"/>
      <c r="F73" s="36"/>
      <c r="G73" s="36"/>
      <c r="H73" s="77"/>
      <c r="I73" s="72"/>
      <c r="J73" s="18"/>
      <c r="K73" s="18"/>
      <c r="L73" s="18"/>
      <c r="M73" s="64"/>
      <c r="N73" s="63"/>
      <c r="O73" s="18"/>
      <c r="P73" s="18"/>
      <c r="Q73" s="18"/>
      <c r="R73" s="18"/>
      <c r="S73" s="18"/>
      <c r="T73" s="18"/>
      <c r="U73" s="64"/>
      <c r="V73" s="63"/>
      <c r="W73" s="18"/>
      <c r="X73" s="18"/>
      <c r="Y73" s="18"/>
      <c r="Z73" s="64"/>
    </row>
    <row r="74" spans="1:26">
      <c r="A74" s="72" t="str">
        <f>IFERROR(VLOOKUP(#REF!,#REF!,3,FALSE),"")</f>
        <v/>
      </c>
      <c r="B74" s="36" t="str">
        <f>IFERROR(VLOOKUP(#REF!,#REF!,4,FALSE),"")</f>
        <v/>
      </c>
      <c r="C74" s="36" t="str">
        <f>IFERROR(VLOOKUP(#REF!,#REF!,5,FALSE),"")</f>
        <v/>
      </c>
      <c r="D74" s="36"/>
      <c r="E74" s="36"/>
      <c r="F74" s="36"/>
      <c r="G74" s="36"/>
      <c r="H74" s="77"/>
      <c r="I74" s="72"/>
      <c r="J74" s="18"/>
      <c r="K74" s="18"/>
      <c r="L74" s="18"/>
      <c r="M74" s="64"/>
      <c r="N74" s="63"/>
      <c r="O74" s="18"/>
      <c r="P74" s="18"/>
      <c r="Q74" s="18"/>
      <c r="R74" s="18"/>
      <c r="S74" s="18"/>
      <c r="T74" s="18"/>
      <c r="U74" s="64"/>
      <c r="V74" s="63"/>
      <c r="W74" s="18"/>
      <c r="X74" s="18"/>
      <c r="Y74" s="18"/>
      <c r="Z74" s="64"/>
    </row>
    <row r="75" spans="1:26">
      <c r="A75" s="72" t="str">
        <f>IFERROR(VLOOKUP(#REF!,#REF!,3,FALSE),"")</f>
        <v/>
      </c>
      <c r="B75" s="36" t="str">
        <f>IFERROR(VLOOKUP(#REF!,#REF!,4,FALSE),"")</f>
        <v/>
      </c>
      <c r="C75" s="36" t="str">
        <f>IFERROR(VLOOKUP(#REF!,#REF!,5,FALSE),"")</f>
        <v/>
      </c>
      <c r="D75" s="36"/>
      <c r="E75" s="36"/>
      <c r="F75" s="36"/>
      <c r="G75" s="36"/>
      <c r="H75" s="77"/>
      <c r="I75" s="72"/>
      <c r="J75" s="18"/>
      <c r="K75" s="18"/>
      <c r="L75" s="18"/>
      <c r="M75" s="64"/>
      <c r="N75" s="63"/>
      <c r="O75" s="18"/>
      <c r="P75" s="18"/>
      <c r="Q75" s="18"/>
      <c r="R75" s="18"/>
      <c r="S75" s="18"/>
      <c r="T75" s="18"/>
      <c r="U75" s="64"/>
      <c r="V75" s="63"/>
      <c r="W75" s="18"/>
      <c r="X75" s="18"/>
      <c r="Y75" s="18"/>
      <c r="Z75" s="64"/>
    </row>
    <row r="76" spans="1:26">
      <c r="A76" s="72" t="str">
        <f>IFERROR(VLOOKUP(#REF!,#REF!,3,FALSE),"")</f>
        <v/>
      </c>
      <c r="B76" s="36" t="str">
        <f>IFERROR(VLOOKUP(#REF!,#REF!,4,FALSE),"")</f>
        <v/>
      </c>
      <c r="C76" s="36" t="str">
        <f>IFERROR(VLOOKUP(#REF!,#REF!,5,FALSE),"")</f>
        <v/>
      </c>
      <c r="D76" s="36"/>
      <c r="E76" s="36"/>
      <c r="F76" s="36"/>
      <c r="G76" s="36"/>
      <c r="H76" s="77"/>
      <c r="I76" s="72"/>
      <c r="J76" s="18"/>
      <c r="K76" s="18"/>
      <c r="L76" s="18"/>
      <c r="M76" s="64"/>
      <c r="N76" s="63"/>
      <c r="O76" s="18"/>
      <c r="P76" s="18"/>
      <c r="Q76" s="18"/>
      <c r="R76" s="18"/>
      <c r="S76" s="18"/>
      <c r="T76" s="18"/>
      <c r="U76" s="64"/>
      <c r="V76" s="63"/>
      <c r="W76" s="18"/>
      <c r="X76" s="18"/>
      <c r="Y76" s="18"/>
      <c r="Z76" s="64"/>
    </row>
    <row r="77" spans="1:26">
      <c r="A77" s="72" t="str">
        <f>IFERROR(VLOOKUP(#REF!,#REF!,3,FALSE),"")</f>
        <v/>
      </c>
      <c r="B77" s="36" t="str">
        <f>IFERROR(VLOOKUP(#REF!,#REF!,4,FALSE),"")</f>
        <v/>
      </c>
      <c r="C77" s="36" t="str">
        <f>IFERROR(VLOOKUP(#REF!,#REF!,5,FALSE),"")</f>
        <v/>
      </c>
      <c r="D77" s="36"/>
      <c r="E77" s="36"/>
      <c r="F77" s="36"/>
      <c r="G77" s="36"/>
      <c r="H77" s="77"/>
      <c r="I77" s="72"/>
      <c r="J77" s="18"/>
      <c r="K77" s="18"/>
      <c r="L77" s="18"/>
      <c r="M77" s="64"/>
      <c r="N77" s="63"/>
      <c r="O77" s="18"/>
      <c r="P77" s="18"/>
      <c r="Q77" s="18"/>
      <c r="R77" s="18"/>
      <c r="S77" s="18"/>
      <c r="T77" s="18"/>
      <c r="U77" s="64"/>
      <c r="V77" s="63"/>
      <c r="W77" s="18"/>
      <c r="X77" s="18"/>
      <c r="Y77" s="18"/>
      <c r="Z77" s="64"/>
    </row>
    <row r="78" spans="1:26">
      <c r="A78" s="72" t="str">
        <f>IFERROR(VLOOKUP(#REF!,#REF!,3,FALSE),"")</f>
        <v/>
      </c>
      <c r="B78" s="36" t="str">
        <f>IFERROR(VLOOKUP(#REF!,#REF!,4,FALSE),"")</f>
        <v/>
      </c>
      <c r="C78" s="36" t="str">
        <f>IFERROR(VLOOKUP(#REF!,#REF!,5,FALSE),"")</f>
        <v/>
      </c>
      <c r="D78" s="36"/>
      <c r="E78" s="36"/>
      <c r="F78" s="36"/>
      <c r="G78" s="36"/>
      <c r="H78" s="77"/>
      <c r="I78" s="72"/>
      <c r="J78" s="18"/>
      <c r="K78" s="18"/>
      <c r="L78" s="18"/>
      <c r="M78" s="64"/>
      <c r="N78" s="63"/>
      <c r="O78" s="18"/>
      <c r="P78" s="18"/>
      <c r="Q78" s="18"/>
      <c r="R78" s="18"/>
      <c r="S78" s="18"/>
      <c r="T78" s="18"/>
      <c r="U78" s="64"/>
      <c r="V78" s="63"/>
      <c r="W78" s="18"/>
      <c r="X78" s="18"/>
      <c r="Y78" s="18"/>
      <c r="Z78" s="64"/>
    </row>
    <row r="79" spans="1:26">
      <c r="A79" s="72" t="str">
        <f>IFERROR(VLOOKUP(#REF!,#REF!,3,FALSE),"")</f>
        <v/>
      </c>
      <c r="B79" s="36" t="str">
        <f>IFERROR(VLOOKUP(#REF!,#REF!,4,FALSE),"")</f>
        <v/>
      </c>
      <c r="C79" s="36" t="str">
        <f>IFERROR(VLOOKUP(#REF!,#REF!,5,FALSE),"")</f>
        <v/>
      </c>
      <c r="D79" s="36"/>
      <c r="E79" s="36"/>
      <c r="F79" s="36"/>
      <c r="G79" s="36"/>
      <c r="H79" s="77"/>
      <c r="I79" s="72"/>
      <c r="J79" s="18"/>
      <c r="K79" s="18"/>
      <c r="L79" s="18"/>
      <c r="M79" s="64"/>
      <c r="N79" s="63"/>
      <c r="O79" s="18"/>
      <c r="P79" s="18"/>
      <c r="Q79" s="18"/>
      <c r="R79" s="18"/>
      <c r="S79" s="18"/>
      <c r="T79" s="18"/>
      <c r="U79" s="64"/>
      <c r="V79" s="63"/>
      <c r="W79" s="18"/>
      <c r="X79" s="18"/>
      <c r="Y79" s="18"/>
      <c r="Z79" s="64"/>
    </row>
    <row r="80" spans="1:26">
      <c r="A80" s="72" t="str">
        <f>IFERROR(VLOOKUP(#REF!,#REF!,3,FALSE),"")</f>
        <v/>
      </c>
      <c r="B80" s="36" t="str">
        <f>IFERROR(VLOOKUP(#REF!,#REF!,4,FALSE),"")</f>
        <v/>
      </c>
      <c r="C80" s="36" t="str">
        <f>IFERROR(VLOOKUP(#REF!,#REF!,5,FALSE),"")</f>
        <v/>
      </c>
      <c r="D80" s="36"/>
      <c r="E80" s="36"/>
      <c r="F80" s="36"/>
      <c r="G80" s="36"/>
      <c r="H80" s="77"/>
      <c r="I80" s="72"/>
      <c r="J80" s="18"/>
      <c r="K80" s="18"/>
      <c r="L80" s="18"/>
      <c r="M80" s="64"/>
      <c r="N80" s="63"/>
      <c r="O80" s="18"/>
      <c r="P80" s="18"/>
      <c r="Q80" s="18"/>
      <c r="R80" s="18"/>
      <c r="S80" s="18"/>
      <c r="T80" s="18"/>
      <c r="U80" s="64"/>
      <c r="V80" s="63"/>
      <c r="W80" s="18"/>
      <c r="X80" s="18"/>
      <c r="Y80" s="18"/>
      <c r="Z80" s="64"/>
    </row>
    <row r="81" spans="1:26">
      <c r="A81" s="72" t="str">
        <f>IFERROR(VLOOKUP(#REF!,#REF!,3,FALSE),"")</f>
        <v/>
      </c>
      <c r="B81" s="36" t="str">
        <f>IFERROR(VLOOKUP(#REF!,#REF!,4,FALSE),"")</f>
        <v/>
      </c>
      <c r="C81" s="36" t="str">
        <f>IFERROR(VLOOKUP(#REF!,#REF!,5,FALSE),"")</f>
        <v/>
      </c>
      <c r="D81" s="36"/>
      <c r="E81" s="36"/>
      <c r="F81" s="36"/>
      <c r="G81" s="36"/>
      <c r="H81" s="77"/>
      <c r="I81" s="72"/>
      <c r="J81" s="18"/>
      <c r="K81" s="18"/>
      <c r="L81" s="18"/>
      <c r="M81" s="64"/>
      <c r="N81" s="63"/>
      <c r="O81" s="18"/>
      <c r="P81" s="18"/>
      <c r="Q81" s="18"/>
      <c r="R81" s="18"/>
      <c r="S81" s="18"/>
      <c r="T81" s="18"/>
      <c r="U81" s="64"/>
      <c r="V81" s="63"/>
      <c r="W81" s="18"/>
      <c r="X81" s="18"/>
      <c r="Y81" s="18"/>
      <c r="Z81" s="64"/>
    </row>
    <row r="82" spans="1:26">
      <c r="A82" s="72" t="str">
        <f>IFERROR(VLOOKUP(#REF!,#REF!,3,FALSE),"")</f>
        <v/>
      </c>
      <c r="B82" s="36" t="str">
        <f>IFERROR(VLOOKUP(#REF!,#REF!,4,FALSE),"")</f>
        <v/>
      </c>
      <c r="C82" s="36" t="str">
        <f>IFERROR(VLOOKUP(#REF!,#REF!,5,FALSE),"")</f>
        <v/>
      </c>
      <c r="D82" s="36"/>
      <c r="E82" s="36"/>
      <c r="F82" s="36"/>
      <c r="G82" s="36"/>
      <c r="H82" s="77"/>
      <c r="I82" s="72"/>
      <c r="J82" s="18"/>
      <c r="K82" s="18"/>
      <c r="L82" s="18"/>
      <c r="M82" s="64"/>
      <c r="N82" s="63"/>
      <c r="O82" s="18"/>
      <c r="P82" s="18"/>
      <c r="Q82" s="18"/>
      <c r="R82" s="18"/>
      <c r="S82" s="18"/>
      <c r="T82" s="18"/>
      <c r="U82" s="64"/>
      <c r="V82" s="63"/>
      <c r="W82" s="18"/>
      <c r="X82" s="18"/>
      <c r="Y82" s="18"/>
      <c r="Z82" s="64"/>
    </row>
    <row r="83" spans="1:26">
      <c r="A83" s="72" t="str">
        <f>IFERROR(VLOOKUP(#REF!,#REF!,3,FALSE),"")</f>
        <v/>
      </c>
      <c r="B83" s="36" t="str">
        <f>IFERROR(VLOOKUP(#REF!,#REF!,4,FALSE),"")</f>
        <v/>
      </c>
      <c r="C83" s="36" t="str">
        <f>IFERROR(VLOOKUP(#REF!,#REF!,5,FALSE),"")</f>
        <v/>
      </c>
      <c r="D83" s="36"/>
      <c r="E83" s="36"/>
      <c r="F83" s="36"/>
      <c r="G83" s="36"/>
      <c r="H83" s="77"/>
      <c r="I83" s="72"/>
      <c r="J83" s="18"/>
      <c r="K83" s="18"/>
      <c r="L83" s="18"/>
      <c r="M83" s="64"/>
      <c r="N83" s="63"/>
      <c r="O83" s="18"/>
      <c r="P83" s="18"/>
      <c r="Q83" s="18"/>
      <c r="R83" s="18"/>
      <c r="S83" s="18"/>
      <c r="T83" s="18"/>
      <c r="U83" s="64"/>
      <c r="V83" s="63"/>
      <c r="W83" s="18"/>
      <c r="X83" s="18"/>
      <c r="Y83" s="18"/>
      <c r="Z83" s="64"/>
    </row>
    <row r="84" spans="1:26">
      <c r="A84" s="73" t="str">
        <f>IFERROR(VLOOKUP(#REF!,#REF!,3,FALSE),"")</f>
        <v/>
      </c>
      <c r="B84" s="78" t="str">
        <f>IFERROR(VLOOKUP(#REF!,#REF!,4,FALSE),"")</f>
        <v/>
      </c>
      <c r="C84" s="78" t="str">
        <f>IFERROR(VLOOKUP(#REF!,#REF!,5,FALSE),"")</f>
        <v/>
      </c>
      <c r="D84" s="78"/>
      <c r="E84" s="78"/>
      <c r="F84" s="78"/>
      <c r="G84" s="78"/>
      <c r="H84" s="79"/>
      <c r="I84" s="73"/>
      <c r="J84" s="66"/>
      <c r="K84" s="66"/>
      <c r="L84" s="66"/>
      <c r="M84" s="67"/>
      <c r="N84" s="65"/>
      <c r="O84" s="66"/>
      <c r="P84" s="66"/>
      <c r="Q84" s="66"/>
      <c r="R84" s="66"/>
      <c r="S84" s="66"/>
      <c r="T84" s="66"/>
      <c r="U84" s="67"/>
      <c r="V84" s="65"/>
      <c r="W84" s="66"/>
      <c r="X84" s="66"/>
      <c r="Y84" s="66"/>
      <c r="Z84" s="67"/>
    </row>
  </sheetData>
  <mergeCells count="5">
    <mergeCell ref="V3:Z3"/>
    <mergeCell ref="A3:H3"/>
    <mergeCell ref="A1:O1"/>
    <mergeCell ref="I3:M3"/>
    <mergeCell ref="N3:U3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1000000}">
          <x14:formula1>
            <xm:f>Справочники!$D$5:$D$13</xm:f>
          </x14:formula1>
          <xm:sqref>S5:S12</xm:sqref>
        </x14:dataValidation>
        <x14:dataValidation type="list" xr:uid="{00000000-0002-0000-0400-000004000000}">
          <x14:formula1>
            <xm:f>Справочники!$G$5:$G$9</xm:f>
          </x14:formula1>
          <xm:sqref>W5:W12</xm:sqref>
        </x14:dataValidation>
        <x14:dataValidation type="list" xr:uid="{00000000-0002-0000-0400-000005000000}">
          <x14:formula1>
            <xm:f>Справочники!$H$5:$H$8</xm:f>
          </x14:formula1>
          <xm:sqref>X5:X12</xm:sqref>
        </x14:dataValidation>
        <x14:dataValidation type="list" xr:uid="{00000000-0002-0000-0400-000006000000}">
          <x14:formula1>
            <xm:f>Справочники!$I$5:$I$7</xm:f>
          </x14:formula1>
          <xm:sqref>Y5:Y12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AR31"/>
  <sheetViews>
    <sheetView tabSelected="1" topLeftCell="AC1" zoomScale="85" zoomScaleNormal="85" workbookViewId="0">
      <pane ySplit="1" topLeftCell="A2" activePane="bottomLeft" state="frozen"/>
      <selection pane="bottomLeft" activeCell="AM12" sqref="AM12"/>
    </sheetView>
  </sheetViews>
  <sheetFormatPr defaultRowHeight="13.8"/>
  <cols>
    <col min="1" max="1" width="20" customWidth="1"/>
    <col min="2" max="2" width="16" customWidth="1"/>
    <col min="3" max="3" width="36" customWidth="1"/>
    <col min="4" max="4" width="25.3984375" customWidth="1"/>
    <col min="5" max="5" width="13" customWidth="1"/>
    <col min="6" max="6" width="11" customWidth="1"/>
    <col min="7" max="7" width="19.19921875" customWidth="1"/>
    <col min="8" max="8" width="23.59765625" customWidth="1"/>
    <col min="9" max="9" width="31" customWidth="1"/>
    <col min="10" max="10" width="27.3984375" customWidth="1"/>
    <col min="11" max="11" width="18.59765625" customWidth="1"/>
    <col min="12" max="15" width="31" customWidth="1"/>
    <col min="16" max="16" width="18.19921875" customWidth="1"/>
    <col min="17" max="17" width="11" customWidth="1"/>
    <col min="18" max="18" width="19.3984375" customWidth="1"/>
    <col min="19" max="19" width="28" customWidth="1"/>
    <col min="20" max="20" width="23" customWidth="1"/>
    <col min="21" max="21" width="27.3984375" customWidth="1"/>
    <col min="22" max="22" width="21.8984375" customWidth="1"/>
    <col min="23" max="23" width="29" customWidth="1"/>
    <col min="24" max="24" width="19.09765625" customWidth="1"/>
    <col min="25" max="25" width="20" customWidth="1"/>
    <col min="26" max="26" width="16" customWidth="1"/>
    <col min="27" max="27" width="23" customWidth="1"/>
    <col min="28" max="28" width="38" customWidth="1"/>
    <col min="29" max="29" width="41" customWidth="1"/>
    <col min="30" max="30" width="37" customWidth="1"/>
    <col min="31" max="31" width="32" customWidth="1"/>
    <col min="32" max="32" width="15" customWidth="1"/>
    <col min="33" max="33" width="17" customWidth="1"/>
    <col min="34" max="36" width="19" customWidth="1"/>
    <col min="37" max="37" width="23" customWidth="1"/>
    <col min="38" max="38" width="23.69921875" bestFit="1" customWidth="1"/>
    <col min="39" max="39" width="28.5" bestFit="1" customWidth="1"/>
    <col min="40" max="41" width="23" customWidth="1"/>
    <col min="42" max="42" width="22" customWidth="1"/>
  </cols>
  <sheetData>
    <row r="1" spans="1:44" ht="22.35" customHeight="1">
      <c r="A1" s="108" t="s">
        <v>7</v>
      </c>
      <c r="B1" s="108"/>
      <c r="C1" s="108"/>
      <c r="D1" s="108"/>
      <c r="E1" s="108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108"/>
    </row>
    <row r="2" spans="1:44" ht="28.95" customHeight="1">
      <c r="A2" s="136" t="s">
        <v>339</v>
      </c>
      <c r="B2" s="136"/>
      <c r="C2" s="136"/>
      <c r="D2" s="136"/>
      <c r="E2" s="136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7"/>
      <c r="AP2" s="136"/>
      <c r="AQ2" s="2"/>
      <c r="AR2" s="2"/>
    </row>
    <row r="3" spans="1:44" ht="28.95" customHeight="1">
      <c r="A3" s="136" t="s">
        <v>340</v>
      </c>
      <c r="B3" s="136"/>
      <c r="C3" s="136"/>
      <c r="D3" s="136"/>
      <c r="E3" s="136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7"/>
      <c r="AP3" s="136"/>
      <c r="AQ3" s="11"/>
      <c r="AR3" s="11"/>
    </row>
    <row r="4" spans="1:44" ht="28.95" customHeight="1">
      <c r="A4" s="34" t="s">
        <v>341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11"/>
      <c r="AR4" s="11"/>
    </row>
    <row r="5" spans="1:44" ht="28.95" customHeight="1">
      <c r="A5" s="34" t="s">
        <v>343</v>
      </c>
      <c r="B5" s="31"/>
      <c r="C5" s="31"/>
      <c r="D5" s="31"/>
      <c r="E5" s="31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5"/>
      <c r="AP5" s="31"/>
      <c r="AQ5" s="11"/>
      <c r="AR5" s="11"/>
    </row>
    <row r="6" spans="1:44" s="100" customFormat="1" ht="28.95" customHeight="1">
      <c r="A6" s="101"/>
      <c r="B6" s="102"/>
      <c r="C6" s="145" t="s">
        <v>429</v>
      </c>
      <c r="D6" s="146"/>
      <c r="E6" s="146"/>
      <c r="F6" s="147" t="s">
        <v>405</v>
      </c>
      <c r="G6" s="147"/>
      <c r="H6" s="147"/>
      <c r="I6" s="147"/>
      <c r="J6" s="147"/>
      <c r="K6" s="147"/>
      <c r="L6" s="147"/>
      <c r="M6" s="148"/>
      <c r="N6" s="145" t="s">
        <v>430</v>
      </c>
      <c r="O6" s="146"/>
      <c r="P6" s="146"/>
      <c r="Q6" s="147" t="s">
        <v>405</v>
      </c>
      <c r="R6" s="147"/>
      <c r="S6" s="147"/>
      <c r="T6" s="147"/>
      <c r="U6" s="147"/>
      <c r="V6" s="147"/>
      <c r="W6" s="147"/>
      <c r="X6" s="148"/>
      <c r="Y6" s="134" t="s">
        <v>429</v>
      </c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5"/>
      <c r="AP6" s="102"/>
      <c r="AQ6" s="103"/>
      <c r="AR6" s="103"/>
    </row>
    <row r="7" spans="1:44" ht="25.2" customHeight="1">
      <c r="A7" s="138" t="s">
        <v>202</v>
      </c>
      <c r="B7" s="138"/>
      <c r="C7" s="142" t="s">
        <v>370</v>
      </c>
      <c r="D7" s="143"/>
      <c r="E7" s="143"/>
      <c r="F7" s="143"/>
      <c r="G7" s="143"/>
      <c r="H7" s="143"/>
      <c r="I7" s="143"/>
      <c r="J7" s="143"/>
      <c r="K7" s="143"/>
      <c r="L7" s="143"/>
      <c r="M7" s="144"/>
      <c r="N7" s="142" t="s">
        <v>371</v>
      </c>
      <c r="O7" s="143"/>
      <c r="P7" s="143"/>
      <c r="Q7" s="143"/>
      <c r="R7" s="143"/>
      <c r="S7" s="143"/>
      <c r="T7" s="143"/>
      <c r="U7" s="143"/>
      <c r="V7" s="143"/>
      <c r="W7" s="143"/>
      <c r="X7" s="144"/>
      <c r="Y7" s="139" t="s">
        <v>203</v>
      </c>
      <c r="Z7" s="139"/>
      <c r="AA7" s="139"/>
      <c r="AB7" s="140" t="s">
        <v>204</v>
      </c>
      <c r="AC7" s="140"/>
      <c r="AD7" s="140"/>
      <c r="AE7" s="140"/>
      <c r="AF7" s="141" t="s">
        <v>205</v>
      </c>
      <c r="AG7" s="141"/>
      <c r="AH7" s="141"/>
      <c r="AI7" s="141"/>
      <c r="AJ7" s="141"/>
      <c r="AK7" s="149" t="s">
        <v>206</v>
      </c>
      <c r="AL7" s="149"/>
      <c r="AM7" s="149"/>
      <c r="AN7" s="149"/>
      <c r="AO7" s="54"/>
      <c r="AP7" s="4" t="s">
        <v>95</v>
      </c>
    </row>
    <row r="8" spans="1:44" ht="38.4" customHeight="1">
      <c r="A8" s="10" t="s">
        <v>207</v>
      </c>
      <c r="B8" s="10" t="s">
        <v>208</v>
      </c>
      <c r="C8" s="45" t="s">
        <v>353</v>
      </c>
      <c r="D8" s="42" t="s">
        <v>209</v>
      </c>
      <c r="E8" s="42" t="s">
        <v>210</v>
      </c>
      <c r="F8" s="44" t="s">
        <v>354</v>
      </c>
      <c r="G8" s="44" t="s">
        <v>355</v>
      </c>
      <c r="H8" s="44" t="s">
        <v>356</v>
      </c>
      <c r="I8" s="44" t="s">
        <v>346</v>
      </c>
      <c r="J8" s="44" t="s">
        <v>347</v>
      </c>
      <c r="K8" s="44" t="s">
        <v>348</v>
      </c>
      <c r="L8" s="44" t="s">
        <v>349</v>
      </c>
      <c r="M8" s="46" t="s">
        <v>350</v>
      </c>
      <c r="N8" s="45" t="s">
        <v>360</v>
      </c>
      <c r="O8" s="42" t="s">
        <v>211</v>
      </c>
      <c r="P8" s="42" t="s">
        <v>212</v>
      </c>
      <c r="Q8" s="44" t="s">
        <v>357</v>
      </c>
      <c r="R8" s="44" t="s">
        <v>358</v>
      </c>
      <c r="S8" s="44" t="s">
        <v>359</v>
      </c>
      <c r="T8" s="44" t="s">
        <v>369</v>
      </c>
      <c r="U8" s="44" t="s">
        <v>372</v>
      </c>
      <c r="V8" s="44" t="s">
        <v>373</v>
      </c>
      <c r="W8" s="44" t="s">
        <v>374</v>
      </c>
      <c r="X8" s="46" t="s">
        <v>375</v>
      </c>
      <c r="Y8" s="55" t="s">
        <v>213</v>
      </c>
      <c r="Z8" s="55" t="s">
        <v>214</v>
      </c>
      <c r="AA8" s="55" t="s">
        <v>215</v>
      </c>
      <c r="AB8" s="56" t="s">
        <v>216</v>
      </c>
      <c r="AC8" s="56" t="s">
        <v>217</v>
      </c>
      <c r="AD8" s="56" t="s">
        <v>218</v>
      </c>
      <c r="AE8" s="56" t="s">
        <v>219</v>
      </c>
      <c r="AF8" s="43" t="s">
        <v>220</v>
      </c>
      <c r="AG8" s="43" t="s">
        <v>221</v>
      </c>
      <c r="AH8" s="43" t="s">
        <v>222</v>
      </c>
      <c r="AI8" s="43" t="s">
        <v>223</v>
      </c>
      <c r="AJ8" s="43" t="s">
        <v>224</v>
      </c>
      <c r="AK8" s="52" t="s">
        <v>225</v>
      </c>
      <c r="AL8" s="52" t="s">
        <v>226</v>
      </c>
      <c r="AM8" s="52" t="s">
        <v>227</v>
      </c>
      <c r="AN8" s="52" t="s">
        <v>228</v>
      </c>
      <c r="AO8" s="57" t="s">
        <v>378</v>
      </c>
      <c r="AP8" s="5" t="s">
        <v>108</v>
      </c>
    </row>
    <row r="9" spans="1:44" s="12" customFormat="1" ht="41.4">
      <c r="A9" s="28" t="s">
        <v>272</v>
      </c>
      <c r="B9" s="28" t="s">
        <v>229</v>
      </c>
      <c r="C9" s="47" t="s">
        <v>114</v>
      </c>
      <c r="D9" s="29" t="s">
        <v>116</v>
      </c>
      <c r="E9" s="29" t="s">
        <v>120</v>
      </c>
      <c r="F9" s="29" t="s">
        <v>49</v>
      </c>
      <c r="G9" s="29" t="s">
        <v>68</v>
      </c>
      <c r="H9" s="29" t="s">
        <v>69</v>
      </c>
      <c r="I9" s="29" t="s">
        <v>109</v>
      </c>
      <c r="J9" s="29" t="s">
        <v>110</v>
      </c>
      <c r="K9" s="29" t="s">
        <v>111</v>
      </c>
      <c r="L9" s="29" t="s">
        <v>112</v>
      </c>
      <c r="M9" s="48" t="s">
        <v>113</v>
      </c>
      <c r="N9" s="47" t="s">
        <v>134</v>
      </c>
      <c r="O9" s="29" t="s">
        <v>132</v>
      </c>
      <c r="P9" s="29" t="s">
        <v>135</v>
      </c>
      <c r="Q9" s="29" t="s">
        <v>49</v>
      </c>
      <c r="R9" s="29" t="s">
        <v>68</v>
      </c>
      <c r="S9" s="29" t="s">
        <v>69</v>
      </c>
      <c r="T9" s="29" t="s">
        <v>125</v>
      </c>
      <c r="U9" s="29" t="s">
        <v>126</v>
      </c>
      <c r="V9" s="29" t="s">
        <v>127</v>
      </c>
      <c r="W9" s="29" t="s">
        <v>128</v>
      </c>
      <c r="X9" s="48" t="s">
        <v>129</v>
      </c>
      <c r="Y9" s="29" t="s">
        <v>230</v>
      </c>
      <c r="Z9" s="29" t="s">
        <v>231</v>
      </c>
      <c r="AA9" s="29" t="s">
        <v>232</v>
      </c>
      <c r="AB9" s="29" t="s">
        <v>233</v>
      </c>
      <c r="AC9" s="29" t="s">
        <v>234</v>
      </c>
      <c r="AD9" s="29" t="s">
        <v>235</v>
      </c>
      <c r="AE9" s="29" t="s">
        <v>236</v>
      </c>
      <c r="AF9" s="29" t="s">
        <v>71</v>
      </c>
      <c r="AG9" s="29" t="s">
        <v>71</v>
      </c>
      <c r="AH9" s="29" t="s">
        <v>71</v>
      </c>
      <c r="AI9" s="29" t="s">
        <v>71</v>
      </c>
      <c r="AJ9" s="29" t="s">
        <v>71</v>
      </c>
      <c r="AK9" s="29" t="s">
        <v>376</v>
      </c>
      <c r="AL9" s="29" t="s">
        <v>72</v>
      </c>
      <c r="AM9" s="29" t="s">
        <v>73</v>
      </c>
      <c r="AN9" s="29" t="s">
        <v>237</v>
      </c>
      <c r="AO9" s="48" t="s">
        <v>379</v>
      </c>
      <c r="AP9" s="28" t="s">
        <v>124</v>
      </c>
    </row>
    <row r="10" spans="1:44" s="12" customFormat="1" ht="55.2">
      <c r="A10" s="28" t="s">
        <v>277</v>
      </c>
      <c r="B10" s="28" t="s">
        <v>229</v>
      </c>
      <c r="C10" s="47" t="s">
        <v>147</v>
      </c>
      <c r="D10" s="29" t="s">
        <v>143</v>
      </c>
      <c r="E10" s="29" t="s">
        <v>135</v>
      </c>
      <c r="F10" s="29" t="s">
        <v>54</v>
      </c>
      <c r="G10" s="29" t="s">
        <v>75</v>
      </c>
      <c r="H10" s="29" t="s">
        <v>76</v>
      </c>
      <c r="I10" s="29" t="s">
        <v>137</v>
      </c>
      <c r="J10" s="29" t="s">
        <v>138</v>
      </c>
      <c r="K10" s="29" t="s">
        <v>127</v>
      </c>
      <c r="L10" s="29" t="s">
        <v>139</v>
      </c>
      <c r="M10" s="48" t="s">
        <v>140</v>
      </c>
      <c r="N10" s="47" t="s">
        <v>155</v>
      </c>
      <c r="O10" s="29" t="s">
        <v>143</v>
      </c>
      <c r="P10" s="29" t="s">
        <v>120</v>
      </c>
      <c r="Q10" s="29" t="s">
        <v>54</v>
      </c>
      <c r="R10" s="29" t="s">
        <v>79</v>
      </c>
      <c r="S10" s="29" t="s">
        <v>80</v>
      </c>
      <c r="T10" s="29" t="s">
        <v>149</v>
      </c>
      <c r="U10" s="29" t="s">
        <v>150</v>
      </c>
      <c r="V10" s="29" t="s">
        <v>111</v>
      </c>
      <c r="W10" s="29" t="s">
        <v>151</v>
      </c>
      <c r="X10" s="48" t="s">
        <v>140</v>
      </c>
      <c r="Y10" s="29" t="s">
        <v>238</v>
      </c>
      <c r="Z10" s="29" t="s">
        <v>231</v>
      </c>
      <c r="AA10" s="29" t="s">
        <v>232</v>
      </c>
      <c r="AB10" s="29" t="s">
        <v>239</v>
      </c>
      <c r="AC10" s="29" t="s">
        <v>240</v>
      </c>
      <c r="AD10" s="29" t="s">
        <v>241</v>
      </c>
      <c r="AE10" s="29" t="s">
        <v>242</v>
      </c>
      <c r="AF10" s="29" t="s">
        <v>71</v>
      </c>
      <c r="AG10" s="29" t="s">
        <v>71</v>
      </c>
      <c r="AH10" s="29" t="s">
        <v>71</v>
      </c>
      <c r="AI10" s="29" t="s">
        <v>71</v>
      </c>
      <c r="AJ10" s="29" t="s">
        <v>71</v>
      </c>
      <c r="AK10" s="29" t="s">
        <v>376</v>
      </c>
      <c r="AL10" s="29" t="s">
        <v>72</v>
      </c>
      <c r="AM10" s="29" t="s">
        <v>78</v>
      </c>
      <c r="AN10" s="29" t="s">
        <v>243</v>
      </c>
      <c r="AO10" s="48" t="s">
        <v>380</v>
      </c>
      <c r="AP10" s="28" t="s">
        <v>124</v>
      </c>
    </row>
    <row r="11" spans="1:44" s="12" customFormat="1" ht="55.2">
      <c r="A11" s="28" t="s">
        <v>280</v>
      </c>
      <c r="B11" s="28" t="s">
        <v>229</v>
      </c>
      <c r="C11" s="49" t="s">
        <v>114</v>
      </c>
      <c r="D11" s="50" t="s">
        <v>116</v>
      </c>
      <c r="E11" s="50" t="s">
        <v>120</v>
      </c>
      <c r="F11" s="50" t="s">
        <v>58</v>
      </c>
      <c r="G11" s="50" t="s">
        <v>89</v>
      </c>
      <c r="H11" s="50" t="s">
        <v>90</v>
      </c>
      <c r="I11" s="50" t="s">
        <v>109</v>
      </c>
      <c r="J11" s="50" t="s">
        <v>110</v>
      </c>
      <c r="K11" s="50" t="s">
        <v>111</v>
      </c>
      <c r="L11" s="50" t="s">
        <v>112</v>
      </c>
      <c r="M11" s="51" t="s">
        <v>175</v>
      </c>
      <c r="N11" s="49" t="s">
        <v>134</v>
      </c>
      <c r="O11" s="50" t="s">
        <v>132</v>
      </c>
      <c r="P11" s="50" t="s">
        <v>135</v>
      </c>
      <c r="Q11" s="50" t="s">
        <v>49</v>
      </c>
      <c r="R11" s="50" t="s">
        <v>92</v>
      </c>
      <c r="S11" s="50" t="s">
        <v>93</v>
      </c>
      <c r="T11" s="50" t="s">
        <v>125</v>
      </c>
      <c r="U11" s="50" t="s">
        <v>126</v>
      </c>
      <c r="V11" s="50" t="s">
        <v>127</v>
      </c>
      <c r="W11" s="50" t="s">
        <v>128</v>
      </c>
      <c r="X11" s="51" t="s">
        <v>129</v>
      </c>
      <c r="Y11" s="50" t="s">
        <v>238</v>
      </c>
      <c r="Z11" s="50" t="s">
        <v>249</v>
      </c>
      <c r="AA11" s="50" t="s">
        <v>250</v>
      </c>
      <c r="AB11" s="50" t="s">
        <v>251</v>
      </c>
      <c r="AC11" s="50" t="s">
        <v>252</v>
      </c>
      <c r="AD11" s="50" t="s">
        <v>253</v>
      </c>
      <c r="AE11" s="50" t="s">
        <v>254</v>
      </c>
      <c r="AF11" s="50" t="s">
        <v>71</v>
      </c>
      <c r="AG11" s="50" t="s">
        <v>71</v>
      </c>
      <c r="AH11" s="50" t="s">
        <v>71</v>
      </c>
      <c r="AI11" s="50" t="s">
        <v>71</v>
      </c>
      <c r="AJ11" s="50" t="s">
        <v>71</v>
      </c>
      <c r="AK11" s="50" t="s">
        <v>376</v>
      </c>
      <c r="AL11" s="50" t="s">
        <v>72</v>
      </c>
      <c r="AM11" s="50" t="s">
        <v>78</v>
      </c>
      <c r="AN11" s="50" t="s">
        <v>243</v>
      </c>
      <c r="AO11" s="51" t="s">
        <v>380</v>
      </c>
      <c r="AP11" s="28" t="s">
        <v>124</v>
      </c>
    </row>
    <row r="12" spans="1:44" s="12" customFormat="1" ht="55.2">
      <c r="A12" s="28" t="s">
        <v>407</v>
      </c>
      <c r="B12" s="28" t="s">
        <v>229</v>
      </c>
      <c r="C12" s="47" t="s">
        <v>165</v>
      </c>
      <c r="D12" s="29" t="s">
        <v>159</v>
      </c>
      <c r="E12" s="29" t="s">
        <v>120</v>
      </c>
      <c r="F12" s="29" t="s">
        <v>49</v>
      </c>
      <c r="G12" s="29" t="s">
        <v>83</v>
      </c>
      <c r="H12" s="29" t="s">
        <v>84</v>
      </c>
      <c r="I12" s="29" t="s">
        <v>157</v>
      </c>
      <c r="J12" s="29" t="s">
        <v>84</v>
      </c>
      <c r="K12" s="29" t="s">
        <v>158</v>
      </c>
      <c r="L12" s="29" t="s">
        <v>159</v>
      </c>
      <c r="M12" s="48" t="s">
        <v>160</v>
      </c>
      <c r="N12" s="47" t="s">
        <v>172</v>
      </c>
      <c r="O12" s="29" t="s">
        <v>159</v>
      </c>
      <c r="P12" s="29" t="s">
        <v>173</v>
      </c>
      <c r="Q12" s="29" t="s">
        <v>49</v>
      </c>
      <c r="R12" s="29" t="s">
        <v>86</v>
      </c>
      <c r="S12" s="29" t="s">
        <v>87</v>
      </c>
      <c r="T12" s="29" t="s">
        <v>167</v>
      </c>
      <c r="U12" s="29" t="s">
        <v>87</v>
      </c>
      <c r="V12" s="29" t="s">
        <v>168</v>
      </c>
      <c r="W12" s="29" t="s">
        <v>159</v>
      </c>
      <c r="X12" s="48" t="s">
        <v>160</v>
      </c>
      <c r="Y12" s="29" t="s">
        <v>238</v>
      </c>
      <c r="Z12" s="29" t="s">
        <v>231</v>
      </c>
      <c r="AA12" s="29" t="s">
        <v>232</v>
      </c>
      <c r="AB12" s="29" t="s">
        <v>244</v>
      </c>
      <c r="AC12" s="29" t="s">
        <v>245</v>
      </c>
      <c r="AD12" s="29" t="s">
        <v>246</v>
      </c>
      <c r="AE12" s="29" t="s">
        <v>247</v>
      </c>
      <c r="AF12" s="29" t="s">
        <v>71</v>
      </c>
      <c r="AG12" s="29" t="s">
        <v>71</v>
      </c>
      <c r="AH12" s="29" t="s">
        <v>71</v>
      </c>
      <c r="AI12" s="29" t="s">
        <v>71</v>
      </c>
      <c r="AJ12" s="29" t="s">
        <v>71</v>
      </c>
      <c r="AK12" s="29" t="s">
        <v>376</v>
      </c>
      <c r="AL12" s="29" t="s">
        <v>72</v>
      </c>
      <c r="AM12" s="29" t="s">
        <v>78</v>
      </c>
      <c r="AN12" s="29" t="s">
        <v>243</v>
      </c>
      <c r="AO12" s="48" t="s">
        <v>380</v>
      </c>
      <c r="AP12" s="28" t="s">
        <v>124</v>
      </c>
    </row>
    <row r="13" spans="1:44">
      <c r="C13" s="81"/>
      <c r="D13" s="80"/>
      <c r="E13" s="80"/>
      <c r="F13" s="80"/>
      <c r="G13" s="80"/>
      <c r="H13" s="80"/>
      <c r="I13" s="80"/>
      <c r="J13" s="80"/>
      <c r="K13" s="80"/>
      <c r="L13" s="80"/>
      <c r="M13" s="82"/>
      <c r="N13" s="81"/>
      <c r="O13" s="80"/>
      <c r="P13" s="80"/>
      <c r="Q13" s="80"/>
      <c r="R13" s="80"/>
      <c r="S13" s="80"/>
      <c r="T13" s="80"/>
      <c r="U13" s="80"/>
      <c r="V13" s="80"/>
      <c r="W13" s="80"/>
      <c r="X13" s="82"/>
      <c r="Y13" s="80"/>
    </row>
    <row r="14" spans="1:44">
      <c r="A14" s="3"/>
      <c r="B14" s="3"/>
      <c r="C14" s="83"/>
      <c r="D14" s="32"/>
      <c r="E14" s="32"/>
      <c r="F14" s="32"/>
      <c r="G14" s="32"/>
      <c r="H14" s="32"/>
      <c r="I14" s="32"/>
      <c r="J14" s="32"/>
      <c r="K14" s="32"/>
      <c r="L14" s="32"/>
      <c r="M14" s="84"/>
      <c r="N14" s="83"/>
      <c r="O14" s="32"/>
      <c r="P14" s="32"/>
      <c r="Q14" s="32"/>
      <c r="R14" s="32"/>
      <c r="S14" s="32"/>
      <c r="T14" s="32"/>
      <c r="U14" s="32"/>
      <c r="V14" s="32"/>
      <c r="W14" s="32"/>
      <c r="X14" s="84"/>
      <c r="Y14" s="32"/>
      <c r="Z14" s="8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53"/>
      <c r="AP14" s="8"/>
    </row>
    <row r="15" spans="1:44">
      <c r="A15" s="3"/>
      <c r="B15" s="3"/>
      <c r="C15" s="83"/>
      <c r="D15" s="32"/>
      <c r="E15" s="32"/>
      <c r="F15" s="32"/>
      <c r="G15" s="32"/>
      <c r="H15" s="32"/>
      <c r="I15" s="32"/>
      <c r="J15" s="32"/>
      <c r="K15" s="32"/>
      <c r="L15" s="32"/>
      <c r="M15" s="84"/>
      <c r="N15" s="83"/>
      <c r="O15" s="32"/>
      <c r="P15" s="32"/>
      <c r="Q15" s="32"/>
      <c r="R15" s="32"/>
      <c r="S15" s="32"/>
      <c r="T15" s="32"/>
      <c r="U15" s="32"/>
      <c r="V15" s="32"/>
      <c r="W15" s="32"/>
      <c r="X15" s="84"/>
      <c r="Y15" s="32"/>
      <c r="Z15" s="8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53"/>
      <c r="AP15" s="8"/>
    </row>
    <row r="16" spans="1:44">
      <c r="A16" s="3"/>
      <c r="B16" s="3"/>
      <c r="C16" s="83"/>
      <c r="D16" s="32"/>
      <c r="E16" s="32"/>
      <c r="F16" s="32"/>
      <c r="G16" s="32"/>
      <c r="H16" s="32"/>
      <c r="I16" s="32"/>
      <c r="J16" s="32"/>
      <c r="K16" s="32"/>
      <c r="L16" s="32"/>
      <c r="M16" s="84"/>
      <c r="N16" s="83"/>
      <c r="O16" s="32"/>
      <c r="P16" s="32"/>
      <c r="Q16" s="32"/>
      <c r="R16" s="32"/>
      <c r="S16" s="32"/>
      <c r="T16" s="32"/>
      <c r="U16" s="32"/>
      <c r="V16" s="32"/>
      <c r="W16" s="32"/>
      <c r="X16" s="84"/>
      <c r="Y16" s="32"/>
      <c r="Z16" s="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53"/>
      <c r="AP16" s="8"/>
    </row>
    <row r="17" spans="1:42">
      <c r="A17" s="3"/>
      <c r="B17" s="3"/>
      <c r="C17" s="83"/>
      <c r="D17" s="32"/>
      <c r="E17" s="32"/>
      <c r="F17" s="32"/>
      <c r="G17" s="32"/>
      <c r="H17" s="32"/>
      <c r="I17" s="32"/>
      <c r="J17" s="32"/>
      <c r="K17" s="32"/>
      <c r="L17" s="32"/>
      <c r="M17" s="84"/>
      <c r="N17" s="83"/>
      <c r="O17" s="32"/>
      <c r="P17" s="32"/>
      <c r="Q17" s="32"/>
      <c r="R17" s="32"/>
      <c r="S17" s="32"/>
      <c r="T17" s="32"/>
      <c r="U17" s="32"/>
      <c r="V17" s="32"/>
      <c r="W17" s="32"/>
      <c r="X17" s="84"/>
      <c r="Y17" s="32"/>
      <c r="Z17" s="8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53"/>
      <c r="AP17" s="8"/>
    </row>
    <row r="18" spans="1:42">
      <c r="A18" s="3"/>
      <c r="B18" s="3"/>
      <c r="C18" s="83"/>
      <c r="D18" s="32"/>
      <c r="E18" s="32"/>
      <c r="F18" s="32"/>
      <c r="G18" s="32"/>
      <c r="H18" s="32"/>
      <c r="I18" s="32"/>
      <c r="J18" s="32"/>
      <c r="K18" s="32"/>
      <c r="L18" s="32"/>
      <c r="M18" s="84"/>
      <c r="N18" s="83"/>
      <c r="O18" s="32"/>
      <c r="P18" s="32"/>
      <c r="Q18" s="32"/>
      <c r="R18" s="32"/>
      <c r="S18" s="32"/>
      <c r="T18" s="32"/>
      <c r="U18" s="32"/>
      <c r="V18" s="32"/>
      <c r="W18" s="32"/>
      <c r="X18" s="84"/>
      <c r="Y18" s="32"/>
      <c r="Z18" s="8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53"/>
      <c r="AP18" s="8"/>
    </row>
    <row r="19" spans="1:42">
      <c r="A19" s="3"/>
      <c r="B19" s="3"/>
      <c r="C19" s="83"/>
      <c r="D19" s="32"/>
      <c r="E19" s="32"/>
      <c r="F19" s="32"/>
      <c r="G19" s="32"/>
      <c r="H19" s="32"/>
      <c r="I19" s="32"/>
      <c r="J19" s="32"/>
      <c r="K19" s="32"/>
      <c r="L19" s="32"/>
      <c r="M19" s="84"/>
      <c r="N19" s="83"/>
      <c r="O19" s="32"/>
      <c r="P19" s="32"/>
      <c r="Q19" s="32"/>
      <c r="R19" s="32"/>
      <c r="S19" s="32"/>
      <c r="T19" s="32"/>
      <c r="U19" s="32"/>
      <c r="V19" s="32"/>
      <c r="W19" s="32"/>
      <c r="X19" s="84"/>
      <c r="Y19" s="32"/>
      <c r="Z19" s="8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53"/>
      <c r="AP19" s="8"/>
    </row>
    <row r="20" spans="1:42">
      <c r="A20" s="3"/>
      <c r="B20" s="3"/>
      <c r="C20" s="83"/>
      <c r="D20" s="32"/>
      <c r="E20" s="32"/>
      <c r="F20" s="32"/>
      <c r="G20" s="32"/>
      <c r="H20" s="32"/>
      <c r="I20" s="32"/>
      <c r="J20" s="32"/>
      <c r="K20" s="32"/>
      <c r="L20" s="32"/>
      <c r="M20" s="84"/>
      <c r="N20" s="83"/>
      <c r="O20" s="32"/>
      <c r="P20" s="32"/>
      <c r="Q20" s="32"/>
      <c r="R20" s="32"/>
      <c r="S20" s="32"/>
      <c r="T20" s="32"/>
      <c r="U20" s="32"/>
      <c r="V20" s="32"/>
      <c r="W20" s="32"/>
      <c r="X20" s="84"/>
      <c r="Y20" s="32"/>
      <c r="Z20" s="8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53"/>
      <c r="AP20" s="8"/>
    </row>
    <row r="21" spans="1:42">
      <c r="A21" s="3"/>
      <c r="B21" s="3"/>
      <c r="C21" s="83"/>
      <c r="D21" s="32"/>
      <c r="E21" s="32"/>
      <c r="F21" s="32"/>
      <c r="G21" s="32"/>
      <c r="H21" s="32"/>
      <c r="I21" s="32"/>
      <c r="J21" s="32"/>
      <c r="K21" s="32"/>
      <c r="L21" s="32"/>
      <c r="M21" s="84"/>
      <c r="N21" s="83"/>
      <c r="O21" s="32"/>
      <c r="P21" s="32"/>
      <c r="Q21" s="32"/>
      <c r="R21" s="32"/>
      <c r="S21" s="32"/>
      <c r="T21" s="32"/>
      <c r="U21" s="32"/>
      <c r="V21" s="32"/>
      <c r="W21" s="32"/>
      <c r="X21" s="84"/>
      <c r="Y21" s="32"/>
      <c r="Z21" s="8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53"/>
      <c r="AP21" s="8"/>
    </row>
    <row r="22" spans="1:42">
      <c r="A22" s="3"/>
      <c r="B22" s="3"/>
      <c r="C22" s="83"/>
      <c r="D22" s="32"/>
      <c r="E22" s="32"/>
      <c r="F22" s="32"/>
      <c r="G22" s="32"/>
      <c r="H22" s="32"/>
      <c r="I22" s="32"/>
      <c r="J22" s="32"/>
      <c r="K22" s="32"/>
      <c r="L22" s="32"/>
      <c r="M22" s="84"/>
      <c r="N22" s="83"/>
      <c r="O22" s="32"/>
      <c r="P22" s="32"/>
      <c r="Q22" s="32"/>
      <c r="R22" s="32"/>
      <c r="S22" s="32"/>
      <c r="T22" s="32"/>
      <c r="U22" s="32"/>
      <c r="V22" s="32"/>
      <c r="W22" s="32"/>
      <c r="X22" s="84"/>
      <c r="Y22" s="32"/>
      <c r="Z22" s="8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53"/>
      <c r="AP22" s="8"/>
    </row>
    <row r="23" spans="1:42">
      <c r="A23" s="3"/>
      <c r="B23" s="3"/>
      <c r="C23" s="83"/>
      <c r="D23" s="32"/>
      <c r="E23" s="32"/>
      <c r="F23" s="32"/>
      <c r="G23" s="32"/>
      <c r="H23" s="32"/>
      <c r="I23" s="32"/>
      <c r="J23" s="32"/>
      <c r="K23" s="32"/>
      <c r="L23" s="32"/>
      <c r="M23" s="84"/>
      <c r="N23" s="83"/>
      <c r="O23" s="32"/>
      <c r="P23" s="32"/>
      <c r="Q23" s="32"/>
      <c r="R23" s="32"/>
      <c r="S23" s="32"/>
      <c r="T23" s="32"/>
      <c r="U23" s="32"/>
      <c r="V23" s="32"/>
      <c r="W23" s="32"/>
      <c r="X23" s="84"/>
      <c r="Y23" s="32"/>
      <c r="Z23" s="8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53"/>
      <c r="AP23" s="8"/>
    </row>
    <row r="24" spans="1:42">
      <c r="A24" s="3"/>
      <c r="B24" s="3"/>
      <c r="C24" s="83"/>
      <c r="D24" s="32"/>
      <c r="E24" s="32"/>
      <c r="F24" s="32"/>
      <c r="G24" s="32"/>
      <c r="H24" s="32"/>
      <c r="I24" s="32"/>
      <c r="J24" s="32"/>
      <c r="K24" s="32"/>
      <c r="L24" s="32"/>
      <c r="M24" s="84"/>
      <c r="N24" s="83"/>
      <c r="O24" s="32"/>
      <c r="P24" s="32"/>
      <c r="Q24" s="32"/>
      <c r="R24" s="32"/>
      <c r="S24" s="32"/>
      <c r="T24" s="32"/>
      <c r="U24" s="32"/>
      <c r="V24" s="32"/>
      <c r="W24" s="32"/>
      <c r="X24" s="84"/>
      <c r="Y24" s="32"/>
      <c r="Z24" s="8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53"/>
      <c r="AP24" s="8"/>
    </row>
    <row r="25" spans="1:42">
      <c r="A25" s="3"/>
      <c r="B25" s="3"/>
      <c r="C25" s="83"/>
      <c r="D25" s="32"/>
      <c r="E25" s="32"/>
      <c r="F25" s="32"/>
      <c r="G25" s="32"/>
      <c r="H25" s="32"/>
      <c r="I25" s="32"/>
      <c r="J25" s="32"/>
      <c r="K25" s="32"/>
      <c r="L25" s="32"/>
      <c r="M25" s="84"/>
      <c r="N25" s="83"/>
      <c r="O25" s="32"/>
      <c r="P25" s="32"/>
      <c r="Q25" s="32"/>
      <c r="R25" s="32"/>
      <c r="S25" s="32"/>
      <c r="T25" s="32"/>
      <c r="U25" s="32"/>
      <c r="V25" s="32"/>
      <c r="W25" s="32"/>
      <c r="X25" s="84"/>
      <c r="Y25" s="32"/>
      <c r="Z25" s="8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53"/>
      <c r="AP25" s="8"/>
    </row>
    <row r="26" spans="1:42">
      <c r="A26" s="3"/>
      <c r="B26" s="3"/>
      <c r="C26" s="83"/>
      <c r="D26" s="32"/>
      <c r="E26" s="32"/>
      <c r="F26" s="32"/>
      <c r="G26" s="32"/>
      <c r="H26" s="32"/>
      <c r="I26" s="32"/>
      <c r="J26" s="32"/>
      <c r="K26" s="32"/>
      <c r="L26" s="32"/>
      <c r="M26" s="84"/>
      <c r="N26" s="83"/>
      <c r="O26" s="32"/>
      <c r="P26" s="32"/>
      <c r="Q26" s="32"/>
      <c r="R26" s="32"/>
      <c r="S26" s="32"/>
      <c r="T26" s="32"/>
      <c r="U26" s="32"/>
      <c r="V26" s="32"/>
      <c r="W26" s="32"/>
      <c r="X26" s="84"/>
      <c r="Y26" s="32"/>
      <c r="Z26" s="8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53"/>
      <c r="AP26" s="8"/>
    </row>
    <row r="27" spans="1:42">
      <c r="A27" s="3"/>
      <c r="B27" s="3"/>
      <c r="C27" s="83"/>
      <c r="D27" s="32"/>
      <c r="E27" s="32"/>
      <c r="F27" s="32"/>
      <c r="G27" s="32"/>
      <c r="H27" s="32"/>
      <c r="I27" s="32"/>
      <c r="J27" s="32"/>
      <c r="K27" s="32"/>
      <c r="L27" s="32"/>
      <c r="M27" s="84"/>
      <c r="N27" s="83"/>
      <c r="O27" s="32"/>
      <c r="P27" s="32"/>
      <c r="Q27" s="32"/>
      <c r="R27" s="32"/>
      <c r="S27" s="32"/>
      <c r="T27" s="32"/>
      <c r="U27" s="32"/>
      <c r="V27" s="32"/>
      <c r="W27" s="32"/>
      <c r="X27" s="84"/>
      <c r="Y27" s="32"/>
      <c r="Z27" s="8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53"/>
      <c r="AP27" s="8"/>
    </row>
    <row r="28" spans="1:42">
      <c r="A28" s="3"/>
      <c r="B28" s="3"/>
      <c r="C28" s="83"/>
      <c r="D28" s="32"/>
      <c r="E28" s="32"/>
      <c r="F28" s="32"/>
      <c r="G28" s="32"/>
      <c r="H28" s="32"/>
      <c r="I28" s="32"/>
      <c r="J28" s="32"/>
      <c r="K28" s="32"/>
      <c r="L28" s="32"/>
      <c r="M28" s="84"/>
      <c r="N28" s="83"/>
      <c r="O28" s="32"/>
      <c r="P28" s="32"/>
      <c r="Q28" s="32"/>
      <c r="R28" s="32"/>
      <c r="S28" s="32"/>
      <c r="T28" s="32"/>
      <c r="U28" s="32"/>
      <c r="V28" s="32"/>
      <c r="W28" s="32"/>
      <c r="X28" s="84"/>
      <c r="Y28" s="32"/>
      <c r="Z28" s="8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53"/>
      <c r="AP28" s="8"/>
    </row>
    <row r="29" spans="1:42">
      <c r="A29" s="3"/>
      <c r="B29" s="3"/>
      <c r="C29" s="83"/>
      <c r="D29" s="32"/>
      <c r="E29" s="32"/>
      <c r="F29" s="32"/>
      <c r="G29" s="32"/>
      <c r="H29" s="32"/>
      <c r="I29" s="32"/>
      <c r="J29" s="32"/>
      <c r="K29" s="32"/>
      <c r="L29" s="32"/>
      <c r="M29" s="84"/>
      <c r="N29" s="83"/>
      <c r="O29" s="32"/>
      <c r="P29" s="32"/>
      <c r="Q29" s="32"/>
      <c r="R29" s="32"/>
      <c r="S29" s="32"/>
      <c r="T29" s="32"/>
      <c r="U29" s="32"/>
      <c r="V29" s="32"/>
      <c r="W29" s="32"/>
      <c r="X29" s="84"/>
      <c r="Y29" s="32"/>
      <c r="Z29" s="8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53"/>
      <c r="AP29" s="8"/>
    </row>
    <row r="30" spans="1:42">
      <c r="A30" s="3"/>
      <c r="B30" s="3"/>
      <c r="C30" s="83"/>
      <c r="D30" s="32"/>
      <c r="E30" s="32"/>
      <c r="F30" s="32"/>
      <c r="G30" s="32"/>
      <c r="H30" s="32"/>
      <c r="I30" s="32"/>
      <c r="J30" s="32"/>
      <c r="K30" s="32"/>
      <c r="L30" s="32"/>
      <c r="M30" s="84"/>
      <c r="N30" s="88"/>
      <c r="O30" s="89"/>
      <c r="P30" s="89"/>
      <c r="Q30" s="89"/>
      <c r="R30" s="89"/>
      <c r="S30" s="89"/>
      <c r="T30" s="89"/>
      <c r="U30" s="89"/>
      <c r="V30" s="89"/>
      <c r="W30" s="89"/>
      <c r="X30" s="90"/>
      <c r="Y30" s="32"/>
      <c r="Z30" s="8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53"/>
      <c r="AP30" s="8"/>
    </row>
    <row r="31" spans="1:42"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7"/>
      <c r="N31" s="80"/>
    </row>
  </sheetData>
  <mergeCells count="15">
    <mergeCell ref="Y6:AO6"/>
    <mergeCell ref="A1:AP1"/>
    <mergeCell ref="A2:AP2"/>
    <mergeCell ref="A7:B7"/>
    <mergeCell ref="Y7:AA7"/>
    <mergeCell ref="AB7:AE7"/>
    <mergeCell ref="AF7:AJ7"/>
    <mergeCell ref="A3:AP3"/>
    <mergeCell ref="C7:M7"/>
    <mergeCell ref="N7:X7"/>
    <mergeCell ref="C6:E6"/>
    <mergeCell ref="F6:M6"/>
    <mergeCell ref="N6:P6"/>
    <mergeCell ref="Q6:X6"/>
    <mergeCell ref="AK7:AN7"/>
  </mergeCells>
  <conditionalFormatting sqref="AP14:AP30 AP9:AP12">
    <cfRule type="expression" dxfId="16" priority="1">
      <formula>AP9="OK"</formula>
    </cfRule>
    <cfRule type="expression" dxfId="15" priority="2">
      <formula>LEFT(AP9,8)="Требует"</formula>
    </cfRule>
    <cfRule type="expression" dxfId="14" priority="3">
      <formula>AP9="Недопустимое назначение"</formula>
    </cfRule>
  </conditionalFormatting>
  <dataValidations count="1">
    <dataValidation sqref="AO9:AO12" xr:uid="{0F7C1F7E-B6A7-48C0-81F0-B4CB1F8EED01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600-000006000000}">
          <x14:formula1>
            <xm:f>Справочники!$O$5:$O$8</xm:f>
          </x14:formula1>
          <xm:sqref>AN14:AO30 AN9:AN12</xm:sqref>
        </x14:dataValidation>
        <x14:dataValidation type="list" xr:uid="{00000000-0002-0000-0600-000000000000}">
          <x14:formula1>
            <xm:f>Справочники!$K$5:$K$7</xm:f>
          </x14:formula1>
          <xm:sqref>B14:B30 B9:B12</xm:sqref>
        </x14:dataValidation>
        <x14:dataValidation type="list" xr:uid="{00000000-0002-0000-0600-000003000000}">
          <x14:formula1>
            <xm:f>Справочники!$L$5:$L$8</xm:f>
          </x14:formula1>
          <xm:sqref>AA14:AA30 AA9:AA12</xm:sqref>
        </x14:dataValidation>
        <x14:dataValidation type="list" xr:uid="{00000000-0002-0000-0600-000004000000}">
          <x14:formula1>
            <xm:f>Справочники!$N$5:$N$7</xm:f>
          </x14:formula1>
          <xm:sqref>AK14:AK30 AK9:AK12</xm:sqref>
        </x14:dataValidation>
        <x14:dataValidation type="list" xr:uid="{00000000-0002-0000-0600-000007000000}">
          <x14:formula1>
            <xm:f>Справочники!$M$5:$M$7</xm:f>
          </x14:formula1>
          <xm:sqref>AF14:AJ30 AF9:AJ12</xm:sqref>
        </x14:dataValidation>
        <x14:dataValidation type="list" xr:uid="{B0D24BF3-9E8E-465D-8F7F-12E91A5F9D3E}">
          <x14:formula1>
            <xm:f>Справочники!$D$5:$D$13</xm:f>
          </x14:formula1>
          <xm:sqref>V9:V12 K9:K12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</sheetPr>
  <dimension ref="A1:N64"/>
  <sheetViews>
    <sheetView topLeftCell="B1" zoomScale="90" zoomScaleNormal="90" workbookViewId="0">
      <pane ySplit="1" topLeftCell="A2" activePane="bottomLeft" state="frozen"/>
      <selection pane="bottomLeft" activeCell="B8" sqref="B8"/>
    </sheetView>
  </sheetViews>
  <sheetFormatPr defaultRowHeight="13.8"/>
  <cols>
    <col min="1" max="1" width="22" customWidth="1"/>
    <col min="2" max="2" width="14" customWidth="1"/>
    <col min="3" max="3" width="18" customWidth="1"/>
    <col min="4" max="4" width="24" customWidth="1"/>
    <col min="5" max="5" width="28" customWidth="1"/>
    <col min="6" max="6" width="24" customWidth="1"/>
    <col min="7" max="7" width="22" customWidth="1"/>
    <col min="8" max="8" width="35" customWidth="1"/>
    <col min="9" max="9" width="28" customWidth="1"/>
    <col min="10" max="10" width="30.09765625" customWidth="1"/>
    <col min="11" max="11" width="27" customWidth="1"/>
    <col min="12" max="12" width="15" customWidth="1"/>
  </cols>
  <sheetData>
    <row r="1" spans="1:14" ht="22.35" customHeight="1">
      <c r="A1" s="108" t="s">
        <v>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4" ht="28.95" customHeight="1">
      <c r="A2" s="112" t="s">
        <v>266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2"/>
      <c r="N2" s="2"/>
    </row>
    <row r="3" spans="1:14" s="100" customFormat="1" ht="15.6">
      <c r="A3" s="99" t="s">
        <v>408</v>
      </c>
      <c r="B3" s="153" t="s">
        <v>409</v>
      </c>
      <c r="C3" s="153"/>
      <c r="D3" s="153"/>
      <c r="E3" s="153"/>
      <c r="F3" s="153"/>
      <c r="G3" s="153"/>
      <c r="H3" s="154"/>
      <c r="I3" s="150" t="s">
        <v>412</v>
      </c>
      <c r="J3" s="151"/>
      <c r="K3" s="151"/>
      <c r="L3" s="152"/>
    </row>
    <row r="4" spans="1:14" ht="38.4" customHeight="1">
      <c r="A4" s="91" t="s">
        <v>267</v>
      </c>
      <c r="B4" s="92" t="s">
        <v>182</v>
      </c>
      <c r="C4" s="92" t="s">
        <v>183</v>
      </c>
      <c r="D4" s="92" t="s">
        <v>184</v>
      </c>
      <c r="E4" s="92" t="s">
        <v>185</v>
      </c>
      <c r="F4" s="92" t="s">
        <v>186</v>
      </c>
      <c r="G4" s="92" t="s">
        <v>187</v>
      </c>
      <c r="H4" s="93" t="s">
        <v>268</v>
      </c>
      <c r="I4" s="96" t="s">
        <v>269</v>
      </c>
      <c r="J4" s="52" t="s">
        <v>270</v>
      </c>
      <c r="K4" s="52" t="s">
        <v>410</v>
      </c>
      <c r="L4" s="57" t="s">
        <v>271</v>
      </c>
    </row>
    <row r="5" spans="1:14" s="12" customFormat="1" ht="27.6">
      <c r="A5" s="47" t="s">
        <v>272</v>
      </c>
      <c r="B5" s="94">
        <v>46204</v>
      </c>
      <c r="C5" s="29" t="s">
        <v>190</v>
      </c>
      <c r="D5" s="29" t="s">
        <v>191</v>
      </c>
      <c r="E5" s="29" t="s">
        <v>192</v>
      </c>
      <c r="F5" s="29" t="s">
        <v>193</v>
      </c>
      <c r="G5" s="29" t="s">
        <v>78</v>
      </c>
      <c r="H5" s="48" t="s">
        <v>273</v>
      </c>
      <c r="I5" s="47" t="s">
        <v>275</v>
      </c>
      <c r="J5" s="29" t="s">
        <v>276</v>
      </c>
      <c r="K5" s="29" t="s">
        <v>184</v>
      </c>
      <c r="L5" s="97">
        <v>46265</v>
      </c>
    </row>
    <row r="6" spans="1:14" s="12" customFormat="1" ht="27.6">
      <c r="A6" s="47" t="s">
        <v>277</v>
      </c>
      <c r="B6" s="94">
        <v>46204</v>
      </c>
      <c r="C6" s="29" t="s">
        <v>196</v>
      </c>
      <c r="D6" s="29" t="s">
        <v>197</v>
      </c>
      <c r="E6" s="29" t="s">
        <v>198</v>
      </c>
      <c r="F6" s="29" t="s">
        <v>76</v>
      </c>
      <c r="G6" s="29" t="s">
        <v>78</v>
      </c>
      <c r="H6" s="48" t="s">
        <v>140</v>
      </c>
      <c r="I6" s="47" t="s">
        <v>278</v>
      </c>
      <c r="J6" s="29" t="s">
        <v>279</v>
      </c>
      <c r="K6" s="29" t="s">
        <v>184</v>
      </c>
      <c r="L6" s="97">
        <v>46234</v>
      </c>
    </row>
    <row r="7" spans="1:14" s="12" customFormat="1" ht="27.6">
      <c r="A7" s="47" t="s">
        <v>280</v>
      </c>
      <c r="B7" s="94">
        <v>46204</v>
      </c>
      <c r="C7" s="29" t="s">
        <v>199</v>
      </c>
      <c r="D7" s="29" t="s">
        <v>200</v>
      </c>
      <c r="E7" s="29" t="s">
        <v>121</v>
      </c>
      <c r="F7" s="29" t="s">
        <v>201</v>
      </c>
      <c r="G7" s="29" t="s">
        <v>78</v>
      </c>
      <c r="H7" s="48" t="s">
        <v>281</v>
      </c>
      <c r="I7" s="47" t="s">
        <v>296</v>
      </c>
      <c r="J7" s="29" t="s">
        <v>397</v>
      </c>
      <c r="K7" s="29" t="s">
        <v>184</v>
      </c>
      <c r="L7" s="97">
        <v>46295</v>
      </c>
    </row>
    <row r="8" spans="1:14" ht="41.4">
      <c r="A8" s="49" t="s">
        <v>407</v>
      </c>
      <c r="B8" s="95">
        <v>46204</v>
      </c>
      <c r="C8" s="50" t="s">
        <v>363</v>
      </c>
      <c r="D8" s="50" t="s">
        <v>362</v>
      </c>
      <c r="E8" s="50" t="s">
        <v>361</v>
      </c>
      <c r="F8" s="50" t="s">
        <v>364</v>
      </c>
      <c r="G8" s="50" t="s">
        <v>78</v>
      </c>
      <c r="H8" s="51" t="s">
        <v>194</v>
      </c>
      <c r="I8" s="49" t="s">
        <v>296</v>
      </c>
      <c r="J8" s="50" t="s">
        <v>411</v>
      </c>
      <c r="K8" s="50" t="s">
        <v>184</v>
      </c>
      <c r="L8" s="98">
        <v>46295</v>
      </c>
    </row>
    <row r="9" spans="1:14">
      <c r="A9" s="3"/>
      <c r="B9" s="9"/>
      <c r="C9" s="3"/>
      <c r="D9" s="3"/>
      <c r="E9" s="3"/>
      <c r="F9" s="3"/>
      <c r="G9" s="3"/>
      <c r="H9" s="3"/>
      <c r="I9" s="3"/>
      <c r="J9" s="3"/>
      <c r="K9" s="3"/>
      <c r="L9" s="9"/>
    </row>
    <row r="10" spans="1:14">
      <c r="A10" s="3"/>
      <c r="B10" s="9"/>
      <c r="C10" s="3"/>
      <c r="D10" s="3"/>
      <c r="E10" s="3"/>
      <c r="F10" s="3"/>
      <c r="G10" s="3"/>
      <c r="H10" s="3"/>
      <c r="I10" s="3"/>
      <c r="J10" s="3"/>
      <c r="K10" s="3"/>
      <c r="L10" s="9"/>
    </row>
    <row r="11" spans="1:14">
      <c r="A11" s="3"/>
      <c r="B11" s="9"/>
      <c r="C11" s="3"/>
      <c r="D11" s="3"/>
      <c r="E11" s="3"/>
      <c r="F11" s="3"/>
      <c r="G11" s="3"/>
      <c r="H11" s="3"/>
      <c r="I11" s="3"/>
      <c r="J11" s="3"/>
      <c r="K11" s="3"/>
      <c r="L11" s="9"/>
    </row>
    <row r="12" spans="1:14">
      <c r="A12" s="3"/>
      <c r="B12" s="9"/>
      <c r="C12" s="3"/>
      <c r="D12" s="3"/>
      <c r="E12" s="3"/>
      <c r="F12" s="3"/>
      <c r="G12" s="3"/>
      <c r="H12" s="3"/>
      <c r="I12" s="3"/>
      <c r="J12" s="3"/>
      <c r="K12" s="3"/>
      <c r="L12" s="9"/>
    </row>
    <row r="13" spans="1:14">
      <c r="A13" s="3"/>
      <c r="B13" s="9"/>
      <c r="C13" s="3"/>
      <c r="D13" s="3"/>
      <c r="E13" s="3"/>
      <c r="F13" s="3"/>
      <c r="G13" s="3"/>
      <c r="H13" s="3"/>
      <c r="I13" s="3"/>
      <c r="J13" s="3"/>
      <c r="K13" s="3"/>
      <c r="L13" s="9"/>
    </row>
    <row r="14" spans="1:14">
      <c r="A14" s="3"/>
      <c r="B14" s="9"/>
      <c r="C14" s="3"/>
      <c r="D14" s="3"/>
      <c r="E14" s="3"/>
      <c r="F14" s="3"/>
      <c r="G14" s="3"/>
      <c r="H14" s="3"/>
      <c r="I14" s="3"/>
      <c r="J14" s="3"/>
      <c r="K14" s="3"/>
      <c r="L14" s="9"/>
    </row>
    <row r="15" spans="1:14">
      <c r="A15" s="3"/>
      <c r="B15" s="9"/>
      <c r="C15" s="3"/>
      <c r="D15" s="3"/>
      <c r="E15" s="3"/>
      <c r="F15" s="3"/>
      <c r="G15" s="3"/>
      <c r="H15" s="3"/>
      <c r="I15" s="3"/>
      <c r="J15" s="3"/>
      <c r="K15" s="3"/>
      <c r="L15" s="9"/>
    </row>
    <row r="16" spans="1:14">
      <c r="A16" s="3"/>
      <c r="B16" s="9"/>
      <c r="C16" s="3"/>
      <c r="D16" s="3"/>
      <c r="E16" s="3"/>
      <c r="F16" s="3"/>
      <c r="G16" s="3"/>
      <c r="H16" s="3"/>
      <c r="I16" s="3"/>
      <c r="J16" s="3"/>
      <c r="K16" s="3"/>
      <c r="L16" s="9"/>
    </row>
    <row r="17" spans="1:12">
      <c r="A17" s="3"/>
      <c r="B17" s="9"/>
      <c r="C17" s="3"/>
      <c r="D17" s="3"/>
      <c r="E17" s="3"/>
      <c r="F17" s="3"/>
      <c r="G17" s="3"/>
      <c r="H17" s="3"/>
      <c r="I17" s="3"/>
      <c r="J17" s="3"/>
      <c r="K17" s="3"/>
      <c r="L17" s="9"/>
    </row>
    <row r="18" spans="1:12">
      <c r="A18" s="3"/>
      <c r="B18" s="9"/>
      <c r="C18" s="3"/>
      <c r="D18" s="3"/>
      <c r="E18" s="3"/>
      <c r="F18" s="3"/>
      <c r="G18" s="3"/>
      <c r="H18" s="3"/>
      <c r="I18" s="3"/>
      <c r="J18" s="3"/>
      <c r="K18" s="3"/>
      <c r="L18" s="9"/>
    </row>
    <row r="19" spans="1:12">
      <c r="A19" s="3"/>
      <c r="B19" s="9"/>
      <c r="C19" s="3"/>
      <c r="D19" s="3"/>
      <c r="E19" s="3"/>
      <c r="F19" s="3"/>
      <c r="G19" s="3"/>
      <c r="H19" s="3"/>
      <c r="I19" s="3"/>
      <c r="J19" s="3"/>
      <c r="K19" s="3"/>
      <c r="L19" s="9"/>
    </row>
    <row r="20" spans="1:12">
      <c r="A20" s="3"/>
      <c r="B20" s="9"/>
      <c r="C20" s="3"/>
      <c r="D20" s="3"/>
      <c r="E20" s="3"/>
      <c r="F20" s="3"/>
      <c r="G20" s="3"/>
      <c r="H20" s="3"/>
      <c r="I20" s="3"/>
      <c r="J20" s="3"/>
      <c r="K20" s="3"/>
      <c r="L20" s="9"/>
    </row>
    <row r="21" spans="1:12">
      <c r="A21" s="3"/>
      <c r="B21" s="9"/>
      <c r="C21" s="3"/>
      <c r="D21" s="3"/>
      <c r="E21" s="3"/>
      <c r="F21" s="3"/>
      <c r="G21" s="3"/>
      <c r="H21" s="3"/>
      <c r="I21" s="3"/>
      <c r="J21" s="3"/>
      <c r="K21" s="3"/>
      <c r="L21" s="9"/>
    </row>
    <row r="22" spans="1:12">
      <c r="A22" s="3"/>
      <c r="B22" s="9"/>
      <c r="C22" s="3"/>
      <c r="D22" s="3"/>
      <c r="E22" s="3"/>
      <c r="F22" s="3"/>
      <c r="G22" s="3"/>
      <c r="H22" s="3"/>
      <c r="I22" s="3"/>
      <c r="J22" s="3"/>
      <c r="K22" s="3"/>
      <c r="L22" s="9"/>
    </row>
    <row r="23" spans="1:12">
      <c r="A23" s="3"/>
      <c r="B23" s="9"/>
      <c r="C23" s="3"/>
      <c r="D23" s="3"/>
      <c r="E23" s="3"/>
      <c r="F23" s="3"/>
      <c r="G23" s="3"/>
      <c r="H23" s="3"/>
      <c r="I23" s="3"/>
      <c r="J23" s="3"/>
      <c r="K23" s="3"/>
      <c r="L23" s="9"/>
    </row>
    <row r="24" spans="1:12">
      <c r="A24" s="3"/>
      <c r="B24" s="9"/>
      <c r="C24" s="3"/>
      <c r="D24" s="3"/>
      <c r="E24" s="3"/>
      <c r="F24" s="3"/>
      <c r="G24" s="3"/>
      <c r="H24" s="3"/>
      <c r="I24" s="3"/>
      <c r="J24" s="3"/>
      <c r="K24" s="3"/>
      <c r="L24" s="9"/>
    </row>
    <row r="25" spans="1:12">
      <c r="A25" s="3"/>
      <c r="B25" s="9"/>
      <c r="C25" s="3"/>
      <c r="D25" s="3"/>
      <c r="E25" s="3"/>
      <c r="F25" s="3"/>
      <c r="G25" s="3"/>
      <c r="H25" s="3"/>
      <c r="I25" s="3"/>
      <c r="J25" s="3"/>
      <c r="K25" s="3"/>
      <c r="L25" s="9"/>
    </row>
    <row r="26" spans="1:12">
      <c r="A26" s="3"/>
      <c r="B26" s="9"/>
      <c r="C26" s="3"/>
      <c r="D26" s="3"/>
      <c r="E26" s="3"/>
      <c r="F26" s="3"/>
      <c r="G26" s="3"/>
      <c r="H26" s="3"/>
      <c r="I26" s="3"/>
      <c r="J26" s="3"/>
      <c r="K26" s="3"/>
      <c r="L26" s="9"/>
    </row>
    <row r="27" spans="1:12">
      <c r="A27" s="3"/>
      <c r="B27" s="9"/>
      <c r="C27" s="3"/>
      <c r="D27" s="3"/>
      <c r="E27" s="3"/>
      <c r="F27" s="3"/>
      <c r="G27" s="3"/>
      <c r="H27" s="3"/>
      <c r="I27" s="3"/>
      <c r="J27" s="3"/>
      <c r="K27" s="3"/>
      <c r="L27" s="9"/>
    </row>
    <row r="28" spans="1:12">
      <c r="A28" s="3"/>
      <c r="B28" s="9"/>
      <c r="C28" s="3"/>
      <c r="D28" s="3"/>
      <c r="E28" s="3"/>
      <c r="F28" s="3"/>
      <c r="G28" s="3"/>
      <c r="H28" s="3"/>
      <c r="I28" s="3"/>
      <c r="J28" s="3"/>
      <c r="K28" s="3"/>
      <c r="L28" s="9"/>
    </row>
    <row r="29" spans="1:12">
      <c r="A29" s="3"/>
      <c r="B29" s="9"/>
      <c r="C29" s="3"/>
      <c r="D29" s="3"/>
      <c r="E29" s="3"/>
      <c r="F29" s="3"/>
      <c r="G29" s="3"/>
      <c r="H29" s="3"/>
      <c r="I29" s="3"/>
      <c r="J29" s="3"/>
      <c r="K29" s="3"/>
      <c r="L29" s="9"/>
    </row>
    <row r="30" spans="1:12">
      <c r="A30" s="3"/>
      <c r="B30" s="9"/>
      <c r="C30" s="3"/>
      <c r="D30" s="3"/>
      <c r="E30" s="3"/>
      <c r="F30" s="3"/>
      <c r="G30" s="3"/>
      <c r="H30" s="3"/>
      <c r="I30" s="3"/>
      <c r="J30" s="3"/>
      <c r="K30" s="3"/>
      <c r="L30" s="9"/>
    </row>
    <row r="31" spans="1:12">
      <c r="A31" s="3"/>
      <c r="B31" s="9"/>
      <c r="C31" s="3"/>
      <c r="D31" s="3"/>
      <c r="E31" s="3"/>
      <c r="F31" s="3"/>
      <c r="G31" s="3"/>
      <c r="H31" s="3"/>
      <c r="I31" s="3"/>
      <c r="J31" s="3"/>
      <c r="K31" s="3"/>
      <c r="L31" s="9"/>
    </row>
    <row r="32" spans="1:12">
      <c r="A32" s="3"/>
      <c r="B32" s="9"/>
      <c r="C32" s="3"/>
      <c r="D32" s="3"/>
      <c r="E32" s="3"/>
      <c r="F32" s="3"/>
      <c r="G32" s="3"/>
      <c r="H32" s="3"/>
      <c r="I32" s="3"/>
      <c r="J32" s="3"/>
      <c r="K32" s="3"/>
      <c r="L32" s="9"/>
    </row>
    <row r="33" spans="1:12">
      <c r="A33" s="3"/>
      <c r="B33" s="9"/>
      <c r="C33" s="3"/>
      <c r="D33" s="3"/>
      <c r="E33" s="3"/>
      <c r="F33" s="3"/>
      <c r="G33" s="3"/>
      <c r="H33" s="3"/>
      <c r="I33" s="3"/>
      <c r="J33" s="3"/>
      <c r="K33" s="3"/>
      <c r="L33" s="9"/>
    </row>
    <row r="34" spans="1:12">
      <c r="A34" s="3"/>
      <c r="B34" s="9"/>
      <c r="C34" s="3"/>
      <c r="D34" s="3"/>
      <c r="E34" s="3"/>
      <c r="F34" s="3"/>
      <c r="G34" s="3"/>
      <c r="H34" s="3"/>
      <c r="I34" s="3"/>
      <c r="J34" s="3"/>
      <c r="K34" s="3"/>
      <c r="L34" s="9"/>
    </row>
    <row r="35" spans="1:12">
      <c r="A35" s="3"/>
      <c r="B35" s="9"/>
      <c r="C35" s="3"/>
      <c r="D35" s="3"/>
      <c r="E35" s="3"/>
      <c r="F35" s="3"/>
      <c r="G35" s="3"/>
      <c r="H35" s="3"/>
      <c r="I35" s="3"/>
      <c r="J35" s="3"/>
      <c r="K35" s="3"/>
      <c r="L35" s="9"/>
    </row>
    <row r="36" spans="1:12">
      <c r="A36" s="3"/>
      <c r="B36" s="9"/>
      <c r="C36" s="3"/>
      <c r="D36" s="3"/>
      <c r="E36" s="3"/>
      <c r="F36" s="3"/>
      <c r="G36" s="3"/>
      <c r="H36" s="3"/>
      <c r="I36" s="3"/>
      <c r="J36" s="3"/>
      <c r="K36" s="3"/>
      <c r="L36" s="9"/>
    </row>
    <row r="37" spans="1:12">
      <c r="A37" s="3"/>
      <c r="B37" s="9"/>
      <c r="C37" s="3"/>
      <c r="D37" s="3"/>
      <c r="E37" s="3"/>
      <c r="F37" s="3"/>
      <c r="G37" s="3"/>
      <c r="H37" s="3"/>
      <c r="I37" s="3"/>
      <c r="J37" s="3"/>
      <c r="K37" s="3"/>
      <c r="L37" s="9"/>
    </row>
    <row r="38" spans="1:12">
      <c r="A38" s="3"/>
      <c r="B38" s="9"/>
      <c r="C38" s="3"/>
      <c r="D38" s="3"/>
      <c r="E38" s="3"/>
      <c r="F38" s="3"/>
      <c r="G38" s="3"/>
      <c r="H38" s="3"/>
      <c r="I38" s="3"/>
      <c r="J38" s="3"/>
      <c r="K38" s="3"/>
      <c r="L38" s="9"/>
    </row>
    <row r="39" spans="1:12">
      <c r="A39" s="3"/>
      <c r="B39" s="9"/>
      <c r="C39" s="3"/>
      <c r="D39" s="3"/>
      <c r="E39" s="3"/>
      <c r="F39" s="3"/>
      <c r="G39" s="3"/>
      <c r="H39" s="3"/>
      <c r="I39" s="3"/>
      <c r="J39" s="3"/>
      <c r="K39" s="3"/>
      <c r="L39" s="9"/>
    </row>
    <row r="40" spans="1:12">
      <c r="A40" s="3"/>
      <c r="B40" s="9"/>
      <c r="C40" s="3"/>
      <c r="D40" s="3"/>
      <c r="E40" s="3"/>
      <c r="F40" s="3"/>
      <c r="G40" s="3"/>
      <c r="H40" s="3"/>
      <c r="I40" s="3"/>
      <c r="J40" s="3"/>
      <c r="K40" s="3"/>
      <c r="L40" s="9"/>
    </row>
    <row r="41" spans="1:12">
      <c r="A41" s="3"/>
      <c r="B41" s="9"/>
      <c r="C41" s="3"/>
      <c r="D41" s="3"/>
      <c r="E41" s="3"/>
      <c r="F41" s="3"/>
      <c r="G41" s="3"/>
      <c r="H41" s="3"/>
      <c r="I41" s="3"/>
      <c r="J41" s="3"/>
      <c r="K41" s="3"/>
      <c r="L41" s="9"/>
    </row>
    <row r="42" spans="1:12">
      <c r="A42" s="3"/>
      <c r="B42" s="9"/>
      <c r="C42" s="3"/>
      <c r="D42" s="3"/>
      <c r="E42" s="3"/>
      <c r="F42" s="3"/>
      <c r="G42" s="3"/>
      <c r="H42" s="3"/>
      <c r="I42" s="3"/>
      <c r="J42" s="3"/>
      <c r="K42" s="3"/>
      <c r="L42" s="9"/>
    </row>
    <row r="43" spans="1:12">
      <c r="A43" s="3"/>
      <c r="B43" s="9"/>
      <c r="C43" s="3"/>
      <c r="D43" s="3"/>
      <c r="E43" s="3"/>
      <c r="F43" s="3"/>
      <c r="G43" s="3"/>
      <c r="H43" s="3"/>
      <c r="I43" s="3"/>
      <c r="J43" s="3"/>
      <c r="K43" s="3"/>
      <c r="L43" s="9"/>
    </row>
    <row r="44" spans="1:12">
      <c r="A44" s="3"/>
      <c r="B44" s="9"/>
      <c r="C44" s="3"/>
      <c r="D44" s="3"/>
      <c r="E44" s="3"/>
      <c r="F44" s="3"/>
      <c r="G44" s="3"/>
      <c r="H44" s="3"/>
      <c r="I44" s="3"/>
      <c r="J44" s="3"/>
      <c r="K44" s="3"/>
      <c r="L44" s="9"/>
    </row>
    <row r="45" spans="1:12">
      <c r="A45" s="3"/>
      <c r="B45" s="9"/>
      <c r="C45" s="3"/>
      <c r="D45" s="3"/>
      <c r="E45" s="3"/>
      <c r="F45" s="3"/>
      <c r="G45" s="3"/>
      <c r="H45" s="3"/>
      <c r="I45" s="3"/>
      <c r="J45" s="3"/>
      <c r="K45" s="3"/>
      <c r="L45" s="9"/>
    </row>
    <row r="46" spans="1:12">
      <c r="A46" s="3"/>
      <c r="B46" s="9"/>
      <c r="C46" s="3"/>
      <c r="D46" s="3"/>
      <c r="E46" s="3"/>
      <c r="F46" s="3"/>
      <c r="G46" s="3"/>
      <c r="H46" s="3"/>
      <c r="I46" s="3"/>
      <c r="J46" s="3"/>
      <c r="K46" s="3"/>
      <c r="L46" s="9"/>
    </row>
    <row r="47" spans="1:12">
      <c r="A47" s="3"/>
      <c r="B47" s="9"/>
      <c r="C47" s="3"/>
      <c r="D47" s="3"/>
      <c r="E47" s="3"/>
      <c r="F47" s="3"/>
      <c r="G47" s="3"/>
      <c r="H47" s="3"/>
      <c r="I47" s="3"/>
      <c r="J47" s="3"/>
      <c r="K47" s="3"/>
      <c r="L47" s="9"/>
    </row>
    <row r="48" spans="1:12">
      <c r="A48" s="3"/>
      <c r="B48" s="9"/>
      <c r="C48" s="3"/>
      <c r="D48" s="3"/>
      <c r="E48" s="3"/>
      <c r="F48" s="3"/>
      <c r="G48" s="3"/>
      <c r="H48" s="3"/>
      <c r="I48" s="3"/>
      <c r="J48" s="3"/>
      <c r="K48" s="3"/>
      <c r="L48" s="9"/>
    </row>
    <row r="49" spans="1:12">
      <c r="A49" s="3"/>
      <c r="B49" s="9"/>
      <c r="C49" s="3"/>
      <c r="D49" s="3"/>
      <c r="E49" s="3"/>
      <c r="F49" s="3"/>
      <c r="G49" s="3"/>
      <c r="H49" s="3"/>
      <c r="I49" s="3"/>
      <c r="J49" s="3"/>
      <c r="K49" s="3"/>
      <c r="L49" s="9"/>
    </row>
    <row r="50" spans="1:12">
      <c r="A50" s="3"/>
      <c r="B50" s="9"/>
      <c r="C50" s="3"/>
      <c r="D50" s="3"/>
      <c r="E50" s="3"/>
      <c r="F50" s="3"/>
      <c r="G50" s="3"/>
      <c r="H50" s="3"/>
      <c r="I50" s="3"/>
      <c r="J50" s="3"/>
      <c r="K50" s="3"/>
      <c r="L50" s="9"/>
    </row>
    <row r="51" spans="1:12">
      <c r="A51" s="3"/>
      <c r="B51" s="9"/>
      <c r="C51" s="3"/>
      <c r="D51" s="3"/>
      <c r="E51" s="3"/>
      <c r="F51" s="3"/>
      <c r="G51" s="3"/>
      <c r="H51" s="3"/>
      <c r="I51" s="3"/>
      <c r="J51" s="3"/>
      <c r="K51" s="3"/>
      <c r="L51" s="9"/>
    </row>
    <row r="52" spans="1:12">
      <c r="A52" s="3"/>
      <c r="B52" s="9"/>
      <c r="C52" s="3"/>
      <c r="D52" s="3"/>
      <c r="E52" s="3"/>
      <c r="F52" s="3"/>
      <c r="G52" s="3"/>
      <c r="H52" s="3"/>
      <c r="I52" s="3"/>
      <c r="J52" s="3"/>
      <c r="K52" s="3"/>
      <c r="L52" s="9"/>
    </row>
    <row r="53" spans="1:12">
      <c r="A53" s="3"/>
      <c r="B53" s="9"/>
      <c r="C53" s="3"/>
      <c r="D53" s="3"/>
      <c r="E53" s="3"/>
      <c r="F53" s="3"/>
      <c r="G53" s="3"/>
      <c r="H53" s="3"/>
      <c r="I53" s="3"/>
      <c r="J53" s="3"/>
      <c r="K53" s="3"/>
      <c r="L53" s="9"/>
    </row>
    <row r="54" spans="1:12">
      <c r="A54" s="3"/>
      <c r="B54" s="9"/>
      <c r="C54" s="3"/>
      <c r="D54" s="3"/>
      <c r="E54" s="3"/>
      <c r="F54" s="3"/>
      <c r="G54" s="3"/>
      <c r="H54" s="3"/>
      <c r="I54" s="3"/>
      <c r="J54" s="3"/>
      <c r="K54" s="3"/>
      <c r="L54" s="9"/>
    </row>
    <row r="55" spans="1:12">
      <c r="A55" s="3"/>
      <c r="B55" s="9"/>
      <c r="C55" s="3"/>
      <c r="D55" s="3"/>
      <c r="E55" s="3"/>
      <c r="F55" s="3"/>
      <c r="G55" s="3"/>
      <c r="H55" s="3"/>
      <c r="I55" s="3"/>
      <c r="J55" s="3"/>
      <c r="K55" s="3"/>
      <c r="L55" s="9"/>
    </row>
    <row r="56" spans="1:12">
      <c r="A56" s="3"/>
      <c r="B56" s="9"/>
      <c r="C56" s="3"/>
      <c r="D56" s="3"/>
      <c r="E56" s="3"/>
      <c r="F56" s="3"/>
      <c r="G56" s="3"/>
      <c r="H56" s="3"/>
      <c r="I56" s="3"/>
      <c r="J56" s="3"/>
      <c r="K56" s="3"/>
      <c r="L56" s="9"/>
    </row>
    <row r="57" spans="1:12">
      <c r="A57" s="3"/>
      <c r="B57" s="9"/>
      <c r="C57" s="3"/>
      <c r="D57" s="3"/>
      <c r="E57" s="3"/>
      <c r="F57" s="3"/>
      <c r="G57" s="3"/>
      <c r="H57" s="3"/>
      <c r="I57" s="3"/>
      <c r="J57" s="3"/>
      <c r="K57" s="3"/>
      <c r="L57" s="9"/>
    </row>
    <row r="58" spans="1:12">
      <c r="A58" s="3"/>
      <c r="B58" s="9"/>
      <c r="C58" s="3"/>
      <c r="D58" s="3"/>
      <c r="E58" s="3"/>
      <c r="F58" s="3"/>
      <c r="G58" s="3"/>
      <c r="H58" s="3"/>
      <c r="I58" s="3"/>
      <c r="J58" s="3"/>
      <c r="K58" s="3"/>
      <c r="L58" s="9"/>
    </row>
    <row r="59" spans="1:12">
      <c r="A59" s="3"/>
      <c r="B59" s="9"/>
      <c r="C59" s="3"/>
      <c r="D59" s="3"/>
      <c r="E59" s="3"/>
      <c r="F59" s="3"/>
      <c r="G59" s="3"/>
      <c r="H59" s="3"/>
      <c r="I59" s="3"/>
      <c r="J59" s="3"/>
      <c r="K59" s="3"/>
      <c r="L59" s="9"/>
    </row>
    <row r="60" spans="1:12">
      <c r="A60" s="3"/>
      <c r="B60" s="9"/>
      <c r="C60" s="3"/>
      <c r="D60" s="3"/>
      <c r="E60" s="3"/>
      <c r="F60" s="3"/>
      <c r="G60" s="3"/>
      <c r="H60" s="3"/>
      <c r="I60" s="3"/>
      <c r="J60" s="3"/>
      <c r="K60" s="3"/>
      <c r="L60" s="9"/>
    </row>
    <row r="61" spans="1:12">
      <c r="A61" s="3"/>
      <c r="B61" s="9"/>
      <c r="C61" s="3"/>
      <c r="D61" s="3"/>
      <c r="E61" s="3"/>
      <c r="F61" s="3"/>
      <c r="G61" s="3"/>
      <c r="H61" s="3"/>
      <c r="I61" s="3"/>
      <c r="J61" s="3"/>
      <c r="K61" s="3"/>
      <c r="L61" s="9"/>
    </row>
    <row r="62" spans="1:12">
      <c r="A62" s="3"/>
      <c r="B62" s="9"/>
      <c r="C62" s="3"/>
      <c r="D62" s="3"/>
      <c r="E62" s="3"/>
      <c r="F62" s="3"/>
      <c r="G62" s="3"/>
      <c r="H62" s="3"/>
      <c r="I62" s="3"/>
      <c r="J62" s="3"/>
      <c r="K62" s="3"/>
      <c r="L62" s="9"/>
    </row>
    <row r="63" spans="1:12">
      <c r="A63" s="3"/>
      <c r="B63" s="9"/>
      <c r="C63" s="3"/>
      <c r="D63" s="3"/>
      <c r="E63" s="3"/>
      <c r="F63" s="3"/>
      <c r="G63" s="3"/>
      <c r="H63" s="3"/>
      <c r="I63" s="3"/>
      <c r="J63" s="3"/>
      <c r="K63" s="3"/>
      <c r="L63" s="9"/>
    </row>
    <row r="64" spans="1:12">
      <c r="A64" s="3"/>
      <c r="B64" s="9"/>
      <c r="C64" s="3"/>
      <c r="D64" s="3"/>
      <c r="E64" s="3"/>
      <c r="F64" s="3"/>
      <c r="G64" s="3"/>
      <c r="H64" s="3"/>
      <c r="I64" s="3"/>
      <c r="J64" s="3"/>
      <c r="K64" s="3"/>
      <c r="L64" s="9"/>
    </row>
  </sheetData>
  <mergeCells count="4">
    <mergeCell ref="A1:L1"/>
    <mergeCell ref="A2:L2"/>
    <mergeCell ref="I3:L3"/>
    <mergeCell ref="B3:H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2000000}">
          <x14:formula1>
            <xm:f>Справочники!$V$5:$V$10</xm:f>
          </x14:formula1>
          <xm:sqref>I5:I64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3"/>
  <sheetViews>
    <sheetView topLeftCell="P1" workbookViewId="0">
      <selection activeCell="C19" sqref="C19:V20"/>
    </sheetView>
  </sheetViews>
  <sheetFormatPr defaultRowHeight="13.8"/>
  <cols>
    <col min="1" max="22" width="25" customWidth="1"/>
  </cols>
  <sheetData>
    <row r="1" spans="1:22" ht="22.35" customHeight="1">
      <c r="A1" s="108" t="s">
        <v>283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spans="1:22" ht="28.95" customHeight="1">
      <c r="A2" s="112" t="s">
        <v>284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4" spans="1:22" ht="27.6">
      <c r="A4" s="1" t="s">
        <v>66</v>
      </c>
      <c r="B4" s="1" t="s">
        <v>285</v>
      </c>
      <c r="C4" s="1" t="s">
        <v>67</v>
      </c>
      <c r="D4" s="1" t="s">
        <v>97</v>
      </c>
      <c r="E4" s="1" t="s">
        <v>101</v>
      </c>
      <c r="F4" s="1" t="s">
        <v>102</v>
      </c>
      <c r="G4" s="1" t="s">
        <v>104</v>
      </c>
      <c r="H4" s="1" t="s">
        <v>105</v>
      </c>
      <c r="I4" s="1" t="s">
        <v>106</v>
      </c>
      <c r="J4" s="1" t="s">
        <v>286</v>
      </c>
      <c r="K4" s="1" t="s">
        <v>287</v>
      </c>
      <c r="L4" s="1" t="s">
        <v>215</v>
      </c>
      <c r="M4" s="1" t="s">
        <v>288</v>
      </c>
      <c r="N4" s="1" t="s">
        <v>225</v>
      </c>
      <c r="O4" s="1" t="s">
        <v>228</v>
      </c>
      <c r="P4" s="1" t="s">
        <v>289</v>
      </c>
      <c r="Q4" s="1" t="s">
        <v>255</v>
      </c>
      <c r="R4" s="1" t="s">
        <v>256</v>
      </c>
      <c r="S4" s="1" t="s">
        <v>290</v>
      </c>
      <c r="T4" s="1" t="s">
        <v>291</v>
      </c>
      <c r="U4" s="1" t="s">
        <v>292</v>
      </c>
      <c r="V4" s="1" t="s">
        <v>293</v>
      </c>
    </row>
    <row r="5" spans="1:22">
      <c r="A5" t="s">
        <v>9</v>
      </c>
      <c r="B5" t="s">
        <v>71</v>
      </c>
      <c r="C5" t="s">
        <v>74</v>
      </c>
      <c r="D5" t="s">
        <v>294</v>
      </c>
      <c r="E5" t="s">
        <v>118</v>
      </c>
      <c r="F5" t="s">
        <v>146</v>
      </c>
      <c r="G5" t="s">
        <v>173</v>
      </c>
      <c r="H5" t="s">
        <v>82</v>
      </c>
      <c r="I5" t="s">
        <v>122</v>
      </c>
      <c r="J5" t="s">
        <v>71</v>
      </c>
      <c r="K5" t="s">
        <v>263</v>
      </c>
      <c r="L5" t="s">
        <v>232</v>
      </c>
      <c r="M5" t="s">
        <v>71</v>
      </c>
      <c r="N5" t="s">
        <v>376</v>
      </c>
      <c r="O5" t="s">
        <v>243</v>
      </c>
      <c r="P5" t="s">
        <v>295</v>
      </c>
      <c r="Q5" t="s">
        <v>243</v>
      </c>
      <c r="R5" t="s">
        <v>261</v>
      </c>
      <c r="S5" t="s">
        <v>71</v>
      </c>
      <c r="T5" t="s">
        <v>263</v>
      </c>
      <c r="U5" t="s">
        <v>261</v>
      </c>
      <c r="V5" t="s">
        <v>296</v>
      </c>
    </row>
    <row r="6" spans="1:22">
      <c r="A6" t="s">
        <v>10</v>
      </c>
      <c r="B6" t="s">
        <v>82</v>
      </c>
      <c r="C6" t="s">
        <v>14</v>
      </c>
      <c r="D6" t="s">
        <v>158</v>
      </c>
      <c r="E6" t="s">
        <v>145</v>
      </c>
      <c r="F6" t="s">
        <v>119</v>
      </c>
      <c r="G6" t="s">
        <v>135</v>
      </c>
      <c r="H6" t="s">
        <v>121</v>
      </c>
      <c r="I6" t="s">
        <v>297</v>
      </c>
      <c r="J6" t="s">
        <v>82</v>
      </c>
      <c r="K6" t="s">
        <v>298</v>
      </c>
      <c r="L6" t="s">
        <v>250</v>
      </c>
      <c r="M6" t="s">
        <v>82</v>
      </c>
      <c r="N6" t="s">
        <v>377</v>
      </c>
      <c r="O6" t="s">
        <v>237</v>
      </c>
      <c r="P6" t="s">
        <v>257</v>
      </c>
      <c r="Q6" t="s">
        <v>237</v>
      </c>
      <c r="R6" t="s">
        <v>258</v>
      </c>
      <c r="S6" t="s">
        <v>82</v>
      </c>
      <c r="T6" t="s">
        <v>262</v>
      </c>
      <c r="U6" t="s">
        <v>96</v>
      </c>
      <c r="V6" t="s">
        <v>278</v>
      </c>
    </row>
    <row r="7" spans="1:22">
      <c r="A7" t="s">
        <v>11</v>
      </c>
      <c r="C7" t="s">
        <v>15</v>
      </c>
      <c r="D7" t="s">
        <v>111</v>
      </c>
      <c r="E7" t="s">
        <v>297</v>
      </c>
      <c r="F7" t="s">
        <v>164</v>
      </c>
      <c r="G7" t="s">
        <v>120</v>
      </c>
      <c r="H7" t="s">
        <v>299</v>
      </c>
      <c r="I7" t="s">
        <v>300</v>
      </c>
      <c r="J7" t="s">
        <v>248</v>
      </c>
      <c r="K7" t="s">
        <v>229</v>
      </c>
      <c r="L7" t="s">
        <v>301</v>
      </c>
      <c r="M7" t="s">
        <v>302</v>
      </c>
      <c r="N7" t="s">
        <v>297</v>
      </c>
      <c r="O7" t="s">
        <v>303</v>
      </c>
      <c r="P7" t="s">
        <v>304</v>
      </c>
      <c r="Q7" t="s">
        <v>305</v>
      </c>
      <c r="R7" t="s">
        <v>265</v>
      </c>
      <c r="T7" t="s">
        <v>259</v>
      </c>
      <c r="U7" t="s">
        <v>274</v>
      </c>
      <c r="V7" t="s">
        <v>275</v>
      </c>
    </row>
    <row r="8" spans="1:22">
      <c r="A8" t="s">
        <v>12</v>
      </c>
      <c r="C8" t="s">
        <v>72</v>
      </c>
      <c r="D8" t="s">
        <v>306</v>
      </c>
      <c r="F8" t="s">
        <v>307</v>
      </c>
      <c r="G8" t="s">
        <v>308</v>
      </c>
      <c r="H8" t="s">
        <v>309</v>
      </c>
      <c r="L8" t="s">
        <v>302</v>
      </c>
      <c r="O8" t="s">
        <v>310</v>
      </c>
      <c r="P8" t="s">
        <v>311</v>
      </c>
      <c r="Q8" t="s">
        <v>264</v>
      </c>
      <c r="R8" t="s">
        <v>312</v>
      </c>
      <c r="T8" t="s">
        <v>313</v>
      </c>
      <c r="V8" t="s">
        <v>282</v>
      </c>
    </row>
    <row r="9" spans="1:22">
      <c r="A9" t="s">
        <v>13</v>
      </c>
      <c r="D9" t="s">
        <v>168</v>
      </c>
      <c r="G9" t="s">
        <v>314</v>
      </c>
      <c r="P9" t="s">
        <v>315</v>
      </c>
      <c r="T9" t="s">
        <v>316</v>
      </c>
      <c r="V9" t="s">
        <v>317</v>
      </c>
    </row>
    <row r="10" spans="1:22">
      <c r="D10" t="s">
        <v>318</v>
      </c>
      <c r="P10" t="s">
        <v>260</v>
      </c>
      <c r="V10" t="s">
        <v>319</v>
      </c>
    </row>
    <row r="11" spans="1:22">
      <c r="D11" t="s">
        <v>127</v>
      </c>
      <c r="P11" t="s">
        <v>342</v>
      </c>
    </row>
    <row r="12" spans="1:22">
      <c r="D12" t="s">
        <v>320</v>
      </c>
      <c r="P12" t="s">
        <v>321</v>
      </c>
    </row>
    <row r="13" spans="1:22">
      <c r="D13" t="s">
        <v>322</v>
      </c>
    </row>
  </sheetData>
  <mergeCells count="2">
    <mergeCell ref="A1:V1"/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Инструкция</vt:lpstr>
      <vt:lpstr>Карточка продукта</vt:lpstr>
      <vt:lpstr>ИС и пользователи</vt:lpstr>
      <vt:lpstr>Назначения (шаг 1)</vt:lpstr>
      <vt:lpstr>Роли и права (шаги 2-4)</vt:lpstr>
      <vt:lpstr>SoD-анализ (шаг 5)</vt:lpstr>
      <vt:lpstr>Фактические конфликты (шаг 6)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Posadsky, Andrey</dc:creator>
  <cp:lastModifiedBy>Posadsky, Andrey</cp:lastModifiedBy>
  <dcterms:created xsi:type="dcterms:W3CDTF">2026-07-24T15:24:44Z</dcterms:created>
  <dcterms:modified xsi:type="dcterms:W3CDTF">2026-08-27T16:48:21Z</dcterms:modified>
</cp:coreProperties>
</file>